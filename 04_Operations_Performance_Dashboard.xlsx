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_Ops_Data" sheetId="2" state="visible" r:id="rId4"/>
    <sheet name="Shift_Performance" sheetId="3" state="visible" r:id="rId5"/>
    <sheet name="Issue_Log" sheetId="4" state="visible" r:id="rId6"/>
    <sheet name="Leadership_Summary" sheetId="5" state="visible" r:id="rId7"/>
  </sheets>
  <definedNames>
    <definedName function="false" hidden="true" localSheetId="1" name="_xlnm._FilterDatabase" vbProcedure="false">Daily_Ops_Data!$B$2:$M$98</definedName>
    <definedName function="false" hidden="false" localSheetId="0" name="_xlnm.Print_Area" vbProcedure="false">Dashboard!$B$2:$L$40</definedName>
    <definedName function="false" hidden="true" localSheetId="3" name="_xlnm._FilterDatabase" vbProcedure="false">Issue_Log!$B$2:$H$30</definedName>
    <definedName function="false" hidden="true" localSheetId="2" name="_xlnm._FilterDatabase" vbProcedure="false">Shift_Performance!$B$2:$I$47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<sst xmlns="http://schemas.openxmlformats.org/spreadsheetml/2006/main" count="262" uniqueCount="105">
  <si>
    <t xml:space="preserve">Operations Performance Dashboard</t>
  </si>
  <si>
    <t xml:space="preserve">Daily volume, productivity, defect rate, staffing variance, and issue tracking for leadership review</t>
  </si>
  <si>
    <t xml:space="preserve">TOTAL VOLUME</t>
  </si>
  <si>
    <t xml:space="preserve">AVG PRODUCTIVITY</t>
  </si>
  <si>
    <t xml:space="preserve">ON-TIME %</t>
  </si>
  <si>
    <t xml:space="preserve">AVG DEFECT RATE</t>
  </si>
  <si>
    <t xml:space="preserve">VOLUME VARIANCE</t>
  </si>
  <si>
    <t xml:space="preserve">AVG STAFFING VAR</t>
  </si>
  <si>
    <t xml:space="preserve">OPEN ISSUES</t>
  </si>
  <si>
    <t xml:space="preserve">RED DAYS (30D)</t>
  </si>
  <si>
    <t xml:space="preserve">Volume: Plan vs Actual</t>
  </si>
  <si>
    <t xml:space="preserve">Issues by Type</t>
  </si>
  <si>
    <t xml:space="preserve">Defect Rate by Week</t>
  </si>
  <si>
    <t xml:space="preserve">W3</t>
  </si>
  <si>
    <t xml:space="preserve">Equipment Failure</t>
  </si>
  <si>
    <t xml:space="preserve">W4</t>
  </si>
  <si>
    <t xml:space="preserve">Staffing Shortfall</t>
  </si>
  <si>
    <t xml:space="preserve">W5</t>
  </si>
  <si>
    <t xml:space="preserve">Inbound Delay</t>
  </si>
  <si>
    <t xml:space="preserve">W6</t>
  </si>
  <si>
    <t xml:space="preserve">System Outage</t>
  </si>
  <si>
    <t xml:space="preserve">W7</t>
  </si>
  <si>
    <t xml:space="preserve">Quality Escalation</t>
  </si>
  <si>
    <t xml:space="preserve">W8</t>
  </si>
  <si>
    <t xml:space="preserve">Safety Incident</t>
  </si>
  <si>
    <t xml:space="preserve">Volume Spike</t>
  </si>
  <si>
    <t xml:space="preserve">Note: Productivity, variance, defect rate, and RAG status are live Excel formulas. RAG = Red if on-time &lt;90% or variance &lt;-5%. Sample data modeled on Amazon logistics operations.</t>
  </si>
  <si>
    <t xml:space="preserve">Date</t>
  </si>
  <si>
    <t xml:space="preserve">Volume Planned</t>
  </si>
  <si>
    <t xml:space="preserve">Volume Actual</t>
  </si>
  <si>
    <t xml:space="preserve">Labor Hours</t>
  </si>
  <si>
    <t xml:space="preserve">Defects</t>
  </si>
  <si>
    <t xml:space="preserve">On-Time %</t>
  </si>
  <si>
    <t xml:space="preserve">HC Planned</t>
  </si>
  <si>
    <t xml:space="preserve">HC Actual</t>
  </si>
  <si>
    <t xml:space="preserve">Productivity</t>
  </si>
  <si>
    <t xml:space="preserve">Variance %</t>
  </si>
  <si>
    <t xml:space="preserve">Defect Rate</t>
  </si>
  <si>
    <t xml:space="preserve">RAG</t>
  </si>
  <si>
    <t xml:space="preserve">Shift</t>
  </si>
  <si>
    <t xml:space="preserve">Volume Processed</t>
  </si>
  <si>
    <t xml:space="preserve">Staffing Var</t>
  </si>
  <si>
    <t xml:space="preserve">Night Shift B</t>
  </si>
  <si>
    <t xml:space="preserve">Weekend Shift</t>
  </si>
  <si>
    <t xml:space="preserve">Day Shift A</t>
  </si>
  <si>
    <t xml:space="preserve">Day Shift B</t>
  </si>
  <si>
    <t xml:space="preserve">Night Shift A</t>
  </si>
  <si>
    <t xml:space="preserve">Issue ID</t>
  </si>
  <si>
    <t xml:space="preserve">Date Logged</t>
  </si>
  <si>
    <t xml:space="preserve">Issue Type</t>
  </si>
  <si>
    <t xml:space="preserve">Severity</t>
  </si>
  <si>
    <t xml:space="preserve">Status</t>
  </si>
  <si>
    <t xml:space="preserve">Owner</t>
  </si>
  <si>
    <t xml:space="preserve">Age (Days)</t>
  </si>
  <si>
    <t xml:space="preserve">ISS0001</t>
  </si>
  <si>
    <t xml:space="preserve">Medium</t>
  </si>
  <si>
    <t xml:space="preserve">Resolved</t>
  </si>
  <si>
    <t xml:space="preserve">Operations</t>
  </si>
  <si>
    <t xml:space="preserve">ISS0002</t>
  </si>
  <si>
    <t xml:space="preserve">Low</t>
  </si>
  <si>
    <t xml:space="preserve">In Progress</t>
  </si>
  <si>
    <t xml:space="preserve">IT</t>
  </si>
  <si>
    <t xml:space="preserve">ISS0003</t>
  </si>
  <si>
    <t xml:space="preserve">Critical</t>
  </si>
  <si>
    <t xml:space="preserve">ISS0004</t>
  </si>
  <si>
    <t xml:space="preserve">ISS0005</t>
  </si>
  <si>
    <t xml:space="preserve">Open</t>
  </si>
  <si>
    <t xml:space="preserve">Maintenance</t>
  </si>
  <si>
    <t xml:space="preserve">ISS0006</t>
  </si>
  <si>
    <t xml:space="preserve">ISS0007</t>
  </si>
  <si>
    <t xml:space="preserve">ISS0008</t>
  </si>
  <si>
    <t xml:space="preserve">ISS0009</t>
  </si>
  <si>
    <t xml:space="preserve">ISS0010</t>
  </si>
  <si>
    <t xml:space="preserve">ISS0011</t>
  </si>
  <si>
    <t xml:space="preserve">High</t>
  </si>
  <si>
    <t xml:space="preserve">ISS0012</t>
  </si>
  <si>
    <t xml:space="preserve">Safety</t>
  </si>
  <si>
    <t xml:space="preserve">ISS0013</t>
  </si>
  <si>
    <t xml:space="preserve">ISS0014</t>
  </si>
  <si>
    <t xml:space="preserve">ISS0015</t>
  </si>
  <si>
    <t xml:space="preserve">ISS0016</t>
  </si>
  <si>
    <t xml:space="preserve">ISS0017</t>
  </si>
  <si>
    <t xml:space="preserve">ISS0018</t>
  </si>
  <si>
    <t xml:space="preserve">ISS0019</t>
  </si>
  <si>
    <t xml:space="preserve">ISS0020</t>
  </si>
  <si>
    <t xml:space="preserve">ISS0021</t>
  </si>
  <si>
    <t xml:space="preserve">ISS0022</t>
  </si>
  <si>
    <t xml:space="preserve">ISS0023</t>
  </si>
  <si>
    <t xml:space="preserve">ISS0024</t>
  </si>
  <si>
    <t xml:space="preserve">ISS0025</t>
  </si>
  <si>
    <t xml:space="preserve">ISS0026</t>
  </si>
  <si>
    <t xml:space="preserve">ISS0027</t>
  </si>
  <si>
    <t xml:space="preserve">ISS0028</t>
  </si>
  <si>
    <t xml:space="preserve">Leadership Weekly Summary</t>
  </si>
  <si>
    <t xml:space="preserve">Week</t>
  </si>
  <si>
    <t xml:space="preserve">Avg Productivity</t>
  </si>
  <si>
    <t xml:space="preserve">Open Issues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</si>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</sst>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.0%"/>
    <numFmt numFmtId="168" formatCode="0.00%"/>
    <numFmt numFmtId="169" formatCode="0"/>
    <numFmt numFmtId="170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9"/>
      <color rgb="FF7A797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F3864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/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 style="thin">
        <color rgb="FFD4D1CA"/>
      </right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BF7B"/>
          <bgColor rgb="FF000000"/>
        </patternFill>
      </fill>
    </dxf>
    <dxf>
      <fill>
        <patternFill patternType="solid">
          <fgColor rgb="FF6AC07B"/>
          <bgColor rgb="FF000000"/>
        </patternFill>
      </fill>
    </dxf>
    <dxf>
      <fill>
        <patternFill patternType="solid">
          <fgColor rgb="FF6BC07B"/>
          <bgColor rgb="FF000000"/>
        </patternFill>
      </fill>
    </dxf>
    <dxf>
      <fill>
        <patternFill patternType="solid">
          <fgColor rgb="FF6DC17B"/>
          <bgColor rgb="FF000000"/>
        </patternFill>
      </fill>
    </dxf>
    <dxf>
      <fill>
        <patternFill patternType="solid">
          <fgColor rgb="FF6FC17B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8C47C"/>
          <bgColor rgb="FF000000"/>
        </patternFill>
      </fill>
    </dxf>
    <dxf>
      <fill>
        <patternFill patternType="solid">
          <fgColor rgb="FF7CC57C"/>
          <bgColor rgb="FF000000"/>
        </patternFill>
      </fill>
    </dxf>
    <dxf>
      <fill>
        <patternFill patternType="solid">
          <fgColor rgb="FF7FC67C"/>
          <bgColor rgb="FF000000"/>
        </patternFill>
      </fill>
    </dxf>
    <dxf>
      <fill>
        <patternFill patternType="solid">
          <fgColor rgb="FF81C67C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AC97D"/>
          <bgColor rgb="FF000000"/>
        </patternFill>
      </fill>
    </dxf>
    <dxf>
      <fill>
        <patternFill patternType="solid">
          <fgColor rgb="FF8ECA7D"/>
          <bgColor rgb="FF000000"/>
        </patternFill>
      </fill>
    </dxf>
    <dxf>
      <fill>
        <patternFill patternType="solid">
          <fgColor rgb="FF8FCA7D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CCE7E"/>
          <bgColor rgb="FF000000"/>
        </patternFill>
      </fill>
    </dxf>
    <dxf>
      <fill>
        <patternFill patternType="solid">
          <fgColor rgb="FF9DCE7E"/>
          <bgColor rgb="FF000000"/>
        </patternFill>
      </fill>
    </dxf>
    <dxf>
      <fill>
        <patternFill patternType="solid">
          <fgColor rgb="FF9FCF7E"/>
          <bgColor rgb="FF000000"/>
        </patternFill>
      </fill>
    </dxf>
    <dxf>
      <fill>
        <patternFill patternType="solid">
          <fgColor rgb="FFA1CF7E"/>
          <bgColor rgb="FF000000"/>
        </patternFill>
      </fill>
    </dxf>
    <dxf>
      <fill>
        <patternFill patternType="solid">
          <fgColor rgb="FFA4D1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DD37F"/>
          <bgColor rgb="FF000000"/>
        </patternFill>
      </fill>
    </dxf>
    <dxf>
      <fill>
        <patternFill patternType="solid">
          <fgColor rgb="FFAFD37F"/>
          <bgColor rgb="FF000000"/>
        </patternFill>
      </fill>
    </dxf>
    <dxf>
      <fill>
        <patternFill patternType="solid">
          <fgColor rgb="FFB6D67F"/>
          <bgColor rgb="FF000000"/>
        </patternFill>
      </fill>
    </dxf>
    <dxf>
      <fill>
        <patternFill patternType="solid">
          <fgColor rgb="FFB8D67F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BDD880"/>
          <bgColor rgb="FF000000"/>
        </patternFill>
      </fill>
    </dxf>
    <dxf>
      <fill>
        <patternFill patternType="solid">
          <fgColor rgb="FFC2D980"/>
          <bgColor rgb="FF000000"/>
        </patternFill>
      </fill>
    </dxf>
    <dxf>
      <fill>
        <patternFill patternType="solid">
          <fgColor rgb="FFC5DA80"/>
          <bgColor rgb="FF000000"/>
        </patternFill>
      </fill>
    </dxf>
    <dxf>
      <fill>
        <patternFill patternType="solid">
          <fgColor rgb="FFC6DA80"/>
          <bgColor rgb="FF000000"/>
        </patternFill>
      </fill>
    </dxf>
    <dxf>
      <fill>
        <patternFill patternType="solid">
          <fgColor rgb="FFC9DB80"/>
          <bgColor rgb="FF000000"/>
        </patternFill>
      </fill>
    </dxf>
    <dxf>
      <fill>
        <patternFill patternType="solid">
          <fgColor rgb="FFCDDC81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E0E282"/>
          <bgColor rgb="FF000000"/>
        </patternFill>
      </fill>
    </dxf>
    <dxf>
      <fill>
        <patternFill patternType="solid">
          <fgColor rgb="FFEDE582"/>
          <bgColor rgb="FF000000"/>
        </patternFill>
      </fill>
    </dxf>
    <dxf>
      <fill>
        <patternFill patternType="solid">
          <fgColor rgb="FFF0E683"/>
          <bgColor rgb="FF000000"/>
        </patternFill>
      </fill>
    </dxf>
    <dxf>
      <fill>
        <patternFill patternType="solid">
          <fgColor rgb="FFF2E783"/>
          <bgColor rgb="FF000000"/>
        </patternFill>
      </fill>
    </dxf>
    <dxf>
      <fill>
        <patternFill patternType="solid">
          <fgColor rgb="FFF4E7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6B6C"/>
          <bgColor rgb="FF000000"/>
        </patternFill>
      </fill>
    </dxf>
    <dxf>
      <fill>
        <patternFill patternType="solid">
          <fgColor rgb="FFF9736D"/>
          <bgColor rgb="FF000000"/>
        </patternFill>
      </fill>
    </dxf>
    <dxf>
      <fill>
        <patternFill patternType="solid">
          <fgColor rgb="FFF9796E"/>
          <bgColor rgb="FF000000"/>
        </patternFill>
      </fill>
    </dxf>
    <dxf>
      <fill>
        <patternFill patternType="solid">
          <fgColor rgb="FFF9E983"/>
          <bgColor rgb="FF000000"/>
        </patternFill>
      </fill>
    </dxf>
    <dxf>
      <fill>
        <patternFill patternType="solid">
          <fgColor rgb="FFFA8170"/>
          <bgColor rgb="FF000000"/>
        </patternFill>
      </fill>
    </dxf>
    <dxf>
      <fill>
        <patternFill patternType="solid">
          <fgColor rgb="FFFA8571"/>
          <bgColor rgb="FF000000"/>
        </patternFill>
      </fill>
    </dxf>
    <dxf>
      <fill>
        <patternFill patternType="solid">
          <fgColor rgb="FFFA8771"/>
          <bgColor rgb="FF000000"/>
        </patternFill>
      </fill>
    </dxf>
    <dxf>
      <fill>
        <patternFill patternType="solid">
          <fgColor rgb="FFFAE983"/>
          <bgColor rgb="FF000000"/>
        </patternFill>
      </fill>
    </dxf>
    <dxf>
      <fill>
        <patternFill patternType="solid">
          <fgColor rgb="FFFB9073"/>
          <bgColor rgb="FF000000"/>
        </patternFill>
      </fill>
    </dxf>
    <dxf>
      <fill>
        <patternFill patternType="solid">
          <fgColor rgb="FFFB9774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CB079"/>
          <bgColor rgb="FF000000"/>
        </patternFill>
      </fill>
    </dxf>
    <dxf>
      <fill>
        <patternFill patternType="solid">
          <fgColor rgb="FFFCB279"/>
          <bgColor rgb="FF000000"/>
        </patternFill>
      </fill>
    </dxf>
    <dxf>
      <fill>
        <patternFill patternType="solid">
          <fgColor rgb="FFFCB37A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B87B"/>
          <bgColor rgb="FF000000"/>
        </patternFill>
      </fill>
    </dxf>
    <dxf>
      <fill>
        <patternFill patternType="solid">
          <fgColor rgb="FFFDBA7B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DC37D"/>
          <bgColor rgb="FF000000"/>
        </patternFill>
      </fill>
    </dxf>
    <dxf>
      <fill>
        <patternFill patternType="solid">
          <fgColor rgb="FFFEC67D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A7E"/>
          <bgColor rgb="FF000000"/>
        </patternFill>
      </fill>
    </dxf>
    <dxf>
      <fill>
        <patternFill patternType="solid">
          <fgColor rgb="FFFECC7F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280"/>
          <bgColor rgb="FF000000"/>
        </patternFill>
      </fill>
    </dxf>
    <dxf>
      <fill>
        <patternFill patternType="solid">
          <fgColor rgb="FFFED380"/>
          <bgColor rgb="FF000000"/>
        </patternFill>
      </fill>
    </dxf>
    <dxf>
      <fill>
        <patternFill patternType="solid">
          <fgColor rgb="FFFED781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FFDF82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FFE884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A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944454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A7974"/>
      <rgbColor rgb="FF969696"/>
      <rgbColor rgb="FF1F3864"/>
      <rgbColor rgb="FF339966"/>
      <rgbColor rgb="FF003300"/>
      <rgbColor rgb="FF333300"/>
      <rgbColor rgb="FFA84B2F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Weekly Volume: Plan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A84B2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Dashboard!$C$15:$C$20</c:f>
              <c:strCache>
                <c:ptCount val="6"/>
                <c:pt idx="0">
                  <c:v>W3</c:v>
                </c:pt>
                <c:pt idx="1">
                  <c:v>W4</c:v>
                </c:pt>
                <c:pt idx="2">
                  <c:v>W5</c:v>
                </c:pt>
                <c:pt idx="3">
                  <c:v>W6</c:v>
                </c:pt>
                <c:pt idx="4">
                  <c:v>W7</c:v>
                </c:pt>
                <c:pt idx="5">
                  <c:v>W8</c:v>
                </c:pt>
              </c:strCache>
            </c:strRef>
          </c:cat>
          <c:val>
            <c:numRef>
              <c:f>Dashboard!$D$15:$D$20</c:f>
              <c:numCache>
                <c:formatCode>#,##0</c:formatCode>
                <c:ptCount val="6"/>
                <c:pt idx="0">
                  <c:v>150711</c:v>
                </c:pt>
                <c:pt idx="1">
                  <c:v>169254</c:v>
                </c:pt>
                <c:pt idx="2">
                  <c:v>147061</c:v>
                </c:pt>
                <c:pt idx="3">
                  <c:v>154209</c:v>
                </c:pt>
                <c:pt idx="4">
                  <c:v>139898</c:v>
                </c:pt>
                <c:pt idx="5">
                  <c:v>167662</c:v>
                </c:pt>
              </c:numCache>
            </c:numRef>
          </c:val>
        </c:ser>
        <c:ser>
          <c:idx val="1"/>
          <c:order val="1"/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Dashboard!$C$15:$C$20</c:f>
              <c:strCache>
                <c:ptCount val="6"/>
                <c:pt idx="0">
                  <c:v>W3</c:v>
                </c:pt>
                <c:pt idx="1">
                  <c:v>W4</c:v>
                </c:pt>
                <c:pt idx="2">
                  <c:v>W5</c:v>
                </c:pt>
                <c:pt idx="3">
                  <c:v>W6</c:v>
                </c:pt>
                <c:pt idx="4">
                  <c:v>W7</c:v>
                </c:pt>
                <c:pt idx="5">
                  <c:v>W8</c:v>
                </c:pt>
              </c:strCache>
            </c:strRef>
          </c:cat>
          <c:val>
            <c:numRef>
              <c:f>Dashboard!$E$15:$E$20</c:f>
              <c:numCache>
                <c:formatCode>#,##0</c:formatCode>
                <c:ptCount val="6"/>
                <c:pt idx="0">
                  <c:v>150723</c:v>
                </c:pt>
                <c:pt idx="1">
                  <c:v>170088</c:v>
                </c:pt>
                <c:pt idx="2">
                  <c:v>141449</c:v>
                </c:pt>
                <c:pt idx="3">
                  <c:v>148266</c:v>
                </c:pt>
                <c:pt idx="4">
                  <c:v>141259</c:v>
                </c:pt>
                <c:pt idx="5">
                  <c:v>164318</c:v>
                </c:pt>
              </c:numCache>
            </c:numRef>
          </c:val>
        </c:ser>
        <c:gapWidth val="150"/>
        <c:overlap val="0"/>
        <c:axId val="61017480"/>
        <c:axId val="6942255"/>
      </c:barChart>
      <c:catAx>
        <c:axId val="6101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42255"/>
        <c:crosses val="autoZero"/>
        <c:auto val="1"/>
        <c:lblAlgn val="ctr"/>
        <c:lblOffset val="100"/>
        <c:noMultiLvlLbl val="0"/>
      </c:catAx>
      <c:valAx>
        <c:axId val="6942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0174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Issues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94445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Dashboard!$F$15:$F$21</c:f>
              <c:strCache>
                <c:ptCount val="7"/>
                <c:pt idx="0">
                  <c:v>Equipment Failure</c:v>
                </c:pt>
                <c:pt idx="1">
                  <c:v>Staffing Shortfall</c:v>
                </c:pt>
                <c:pt idx="2">
                  <c:v>Inbound Delay</c:v>
                </c:pt>
                <c:pt idx="3">
                  <c:v>System Outage</c:v>
                </c:pt>
                <c:pt idx="4">
                  <c:v>Quality Escalation</c:v>
                </c:pt>
                <c:pt idx="5">
                  <c:v>Safety Incident</c:v>
                </c:pt>
                <c:pt idx="6">
                  <c:v>Volume Spike</c:v>
                </c:pt>
              </c:strCache>
            </c:strRef>
          </c:cat>
          <c:val>
            <c:numRef>
              <c:f>Dashboard!$G$15:$G$21</c:f>
              <c:numCache>
                <c:formatCode>0</c:formatCode>
                <c:ptCount val="7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18122567"/>
        <c:axId val="63845457"/>
      </c:barChart>
      <c:catAx>
        <c:axId val="18122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45457"/>
        <c:crosses val="autoZero"/>
        <c:auto val="1"/>
        <c:lblAlgn val="ctr"/>
        <c:lblOffset val="100"/>
        <c:noMultiLvlLbl val="0"/>
      </c:catAx>
      <c:valAx>
        <c:axId val="63845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225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Defect Rate — Weekly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A84B2F"/>
            </a:solidFill>
            <a:ln w="28080">
              <a:solidFill>
                <a:srgbClr val="A84B2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Dashboard!$I$15:$I$20</c:f>
              <c:strCache>
                <c:ptCount val="6"/>
                <c:pt idx="0">
                  <c:v>W3</c:v>
                </c:pt>
                <c:pt idx="1">
                  <c:v>W4</c:v>
                </c:pt>
                <c:pt idx="2">
                  <c:v>W5</c:v>
                </c:pt>
                <c:pt idx="3">
                  <c:v>W6</c:v>
                </c:pt>
                <c:pt idx="4">
                  <c:v>W7</c:v>
                </c:pt>
                <c:pt idx="5">
                  <c:v>W8</c:v>
                </c:pt>
              </c:strCache>
            </c:strRef>
          </c:cat>
          <c:val>
            <c:numRef>
              <c:f>Dashboard!$J$15:$J$20</c:f>
              <c:numCache>
                <c:formatCode>0.00%</c:formatCode>
                <c:ptCount val="6"/>
                <c:pt idx="0">
                  <c:v>0.00635361331518636</c:v>
                </c:pt>
                <c:pt idx="1">
                  <c:v>0.00577114577567093</c:v>
                </c:pt>
                <c:pt idx="2">
                  <c:v>0.00740706994720583</c:v>
                </c:pt>
                <c:pt idx="3">
                  <c:v>0.00722255623562243</c:v>
                </c:pt>
                <c:pt idx="4">
                  <c:v>0.00617626653878755</c:v>
                </c:pt>
                <c:pt idx="5">
                  <c:v>0.00489311290681253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820045"/>
        <c:axId val="8464950"/>
      </c:lineChart>
      <c:catAx>
        <c:axId val="478200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64950"/>
        <c:crosses val="autoZero"/>
        <c:auto val="1"/>
        <c:lblAlgn val="ctr"/>
        <c:lblOffset val="100"/>
        <c:noMultiLvlLbl val="0"/>
      </c:catAx>
      <c:valAx>
        <c:axId val="8464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Defect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8200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23</xdr:row>
      <xdr:rowOff>0</xdr:rowOff>
    </xdr:from>
    <xdr:to>
      <xdr:col>3</xdr:col>
      <xdr:colOff>1548000</xdr:colOff>
      <xdr:row>36</xdr:row>
      <xdr:rowOff>43200</xdr:rowOff>
    </xdr:to>
    <xdr:graphicFrame>
      <xdr:nvGraphicFramePr>
        <xdr:cNvPr id="1" name="Chart 1"/>
        <xdr:cNvGraphicFramePr/>
      </xdr:nvGraphicFramePr>
      <xdr:xfrm>
        <a:off x="2818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702000</xdr:colOff>
      <xdr:row>36</xdr:row>
      <xdr:rowOff>43200</xdr:rowOff>
    </xdr:to>
    <xdr:graphicFrame>
      <xdr:nvGraphicFramePr>
        <xdr:cNvPr id="2" name="Chart 2"/>
        <xdr:cNvGraphicFramePr/>
      </xdr:nvGraphicFramePr>
      <xdr:xfrm>
        <a:off x="493380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11</xdr:col>
      <xdr:colOff>90720</xdr:colOff>
      <xdr:row>36</xdr:row>
      <xdr:rowOff>43200</xdr:rowOff>
    </xdr:to>
    <xdr:graphicFrame>
      <xdr:nvGraphicFramePr>
        <xdr:cNvPr id="3" name="Chart 3"/>
        <xdr:cNvGraphicFramePr/>
      </xdr:nvGraphicFramePr>
      <xdr:xfrm>
        <a:off x="87400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ilyOps" displayName="DailyOps" ref="B2:M98" headerRowCount="1" totalsRowCount="0" totalsRowShown="0">
  <autoFilter ref="B2:M98"/>
  <tableColumns count="12">
    <tableColumn id="1" name="Date"/>
    <tableColumn id="2" name="Volume Planned"/>
    <tableColumn id="3" name="Volume Actual"/>
    <tableColumn id="4" name="Labor Hours"/>
    <tableColumn id="5" name="Defects"/>
    <tableColumn id="6" name="On-Time %"/>
    <tableColumn id="7" name="HC Planned"/>
    <tableColumn id="8" name="HC Actual"/>
    <tableColumn id="9" name="Productivity"/>
    <tableColumn id="10" name="Variance %"/>
    <tableColumn id="11" name="Defect Rate"/>
    <tableColumn id="12" name="RAG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ssueLog" displayName="IssueLog" ref="B2:H30" headerRowCount="1" totalsRowCount="0" totalsRowShown="0">
  <autoFilter ref="B2:H30"/>
  <tableColumns count="7">
    <tableColumn id="1" name="Issue ID"/>
    <tableColumn id="2" name="Date Logged"/>
    <tableColumn id="3" name="Issue Type"/>
    <tableColumn id="4" name="Severity"/>
    <tableColumn id="5" name="Status"/>
    <tableColumn id="6" name="Owner"/>
    <tableColumn id="7" name="Age (Days)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ShiftPerformance" displayName="ShiftPerformance" ref="B2:I47" headerRowCount="1" totalsRowCount="0" totalsRowShown="0">
  <autoFilter ref="B2:I47"/>
  <tableColumns count="8">
    <tableColumn id="1" name="Date"/>
    <tableColumn id="2" name="Shift"/>
    <tableColumn id="3" name="HC Planned"/>
    <tableColumn id="4" name="HC Actual"/>
    <tableColumn id="5" name="Volume Processed"/>
    <tableColumn id="6" name="Labor Hours"/>
    <tableColumn id="7" name="Staffing Var"/>
    <tableColumn id="8" name="Productivity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4" min="3" style="0" width="24"/>
    <col collapsed="false" customWidth="true" hidden="false" outlineLevel="0" max="10" min="5" style="0" width="18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C5" s="3" t="s">
        <v>2</v>
      </c>
      <c r="D5" s="3"/>
      <c r="E5" s="3" t="s">
        <v>3</v>
      </c>
      <c r="F5" s="3"/>
      <c r="G5" s="3" t="s">
        <v>4</v>
      </c>
      <c r="H5" s="3"/>
      <c r="I5" s="3" t="s">
        <v>5</v>
      </c>
      <c r="J5" s="3"/>
    </row>
    <row r="6" customFormat="false" ht="15" hidden="false" customHeight="false" outlineLevel="0" collapsed="false">
      <c r="C6" s="4" t="n">
        <f aca="false">SUM(Daily_Ops_Data!D3:D98)</f>
        <v>2078661</v>
      </c>
      <c r="D6" s="4"/>
      <c r="E6" s="5" t="n">
        <f aca="false">AVERAGE(Daily_Ops_Data!J3:J98)</f>
        <v>41.6373083994196</v>
      </c>
      <c r="F6" s="5"/>
      <c r="G6" s="6" t="n">
        <f aca="false">AVERAGE(Daily_Ops_Data!G3:G98)</f>
        <v>0.93504375</v>
      </c>
      <c r="H6" s="6"/>
      <c r="I6" s="7" t="n">
        <f aca="false">AVERAGE(Daily_Ops_Data!L3:L98)</f>
        <v>0.00613626724668248</v>
      </c>
      <c r="J6" s="7"/>
    </row>
    <row r="7" customFormat="false" ht="15" hidden="false" customHeight="false" outlineLevel="0" collapsed="false">
      <c r="C7" s="4"/>
      <c r="D7" s="4"/>
      <c r="E7" s="5"/>
      <c r="F7" s="5"/>
      <c r="G7" s="6"/>
      <c r="H7" s="6"/>
      <c r="I7" s="7"/>
      <c r="J7" s="7"/>
    </row>
    <row r="8" customFormat="false" ht="15" hidden="false" customHeight="false" outlineLevel="0" collapsed="false"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C9" s="3" t="s">
        <v>6</v>
      </c>
      <c r="D9" s="3"/>
      <c r="E9" s="3" t="s">
        <v>7</v>
      </c>
      <c r="F9" s="3"/>
      <c r="G9" s="3" t="s">
        <v>8</v>
      </c>
      <c r="H9" s="3"/>
      <c r="I9" s="3" t="s">
        <v>9</v>
      </c>
      <c r="J9" s="3"/>
    </row>
    <row r="10" customFormat="false" ht="15" hidden="false" customHeight="false" outlineLevel="0" collapsed="false">
      <c r="C10" s="6" t="n">
        <f aca="false">(SUM(Daily_Ops_Data!D3:D98)-SUM(Daily_Ops_Data!C3:C98))/SUM(Daily_Ops_Data!C3:C98)</f>
        <v>-0.0123511870823546</v>
      </c>
      <c r="D10" s="6"/>
      <c r="E10" s="5" t="n">
        <f aca="false">AVERAGE(Daily_Ops_Data!H3:H98)-AVERAGE(Daily_Ops_Data!I3:I98)</f>
        <v>-0.270833333333329</v>
      </c>
      <c r="F10" s="5"/>
      <c r="G10" s="4" t="n">
        <f aca="false">COUNTIF(Issue_Log!F3:F30,"Open")</f>
        <v>7</v>
      </c>
      <c r="H10" s="4"/>
      <c r="I10" s="4" t="n">
        <f aca="false">COUNTIFS(Daily_Ops_Data!M3:M98,"Red",Daily_Ops_Data!B3:B98,"&gt;="&amp;DATE(2026,7,21)-30)</f>
        <v>14</v>
      </c>
      <c r="J10" s="4"/>
    </row>
    <row r="11" customFormat="false" ht="15" hidden="false" customHeight="false" outlineLevel="0" collapsed="false">
      <c r="C11" s="6"/>
      <c r="D11" s="6"/>
      <c r="E11" s="5"/>
      <c r="F11" s="5"/>
      <c r="G11" s="4"/>
      <c r="H11" s="4"/>
      <c r="I11" s="4"/>
      <c r="J11" s="4"/>
    </row>
    <row r="12" customFormat="false" ht="15" hidden="false" customHeight="false" outlineLevel="0" collapsed="false">
      <c r="C12" s="8"/>
      <c r="D12" s="8"/>
      <c r="E12" s="8"/>
      <c r="F12" s="8"/>
      <c r="G12" s="8"/>
      <c r="H12" s="8"/>
      <c r="I12" s="8"/>
      <c r="J12" s="8"/>
    </row>
    <row r="14" customFormat="false" ht="16.15" hidden="false" customHeight="false" outlineLevel="0" collapsed="false">
      <c r="C14" s="9" t="s">
        <v>10</v>
      </c>
      <c r="D14" s="9"/>
      <c r="E14" s="9"/>
      <c r="F14" s="9" t="s">
        <v>11</v>
      </c>
      <c r="G14" s="9"/>
      <c r="I14" s="9" t="s">
        <v>12</v>
      </c>
      <c r="J14" s="9"/>
    </row>
    <row r="15" customFormat="false" ht="15" hidden="false" customHeight="false" outlineLevel="0" collapsed="false">
      <c r="C15" s="10" t="s">
        <v>13</v>
      </c>
      <c r="D15" s="11" t="n">
        <f aca="false">SUMPRODUCT((Daily_Ops_Data!B3:B98&gt;=DATE(2026,6,10))*(Daily_Ops_Data!B3:B98&lt;=DATE(2026,6,16))*Daily_Ops_Data!C3:C98)</f>
        <v>150711</v>
      </c>
      <c r="E15" s="11" t="n">
        <f aca="false">SUMPRODUCT((Daily_Ops_Data!B3:B98&gt;=DATE(2026,6,10))*(Daily_Ops_Data!B3:B98&lt;=DATE(2026,6,16))*Daily_Ops_Data!D3:D98)</f>
        <v>150723</v>
      </c>
      <c r="F15" s="10" t="s">
        <v>14</v>
      </c>
      <c r="G15" s="12" t="n">
        <f aca="false">COUNTIF(Issue_Log!D3:D30,F15)</f>
        <v>4</v>
      </c>
      <c r="I15" s="10" t="s">
        <v>13</v>
      </c>
      <c r="J15" s="13" t="n">
        <f aca="false">IFERROR(AVERAGEIFS(Daily_Ops_Data!L3:L98,Daily_Ops_Data!B3:B98,"&gt;="&amp;DATE(2026,6,10),Daily_Ops_Data!B3:B98,"&lt;="&amp;DATE(2026,6,16)),0)</f>
        <v>0.00635361331518636</v>
      </c>
    </row>
    <row r="16" customFormat="false" ht="15" hidden="false" customHeight="false" outlineLevel="0" collapsed="false">
      <c r="C16" s="10" t="s">
        <v>15</v>
      </c>
      <c r="D16" s="11" t="n">
        <f aca="false">SUMPRODUCT((Daily_Ops_Data!B3:B98&gt;=DATE(2026,6,17))*(Daily_Ops_Data!B3:B98&lt;=DATE(2026,6,23))*Daily_Ops_Data!C3:C98)</f>
        <v>169254</v>
      </c>
      <c r="E16" s="11" t="n">
        <f aca="false">SUMPRODUCT((Daily_Ops_Data!B3:B98&gt;=DATE(2026,6,17))*(Daily_Ops_Data!B3:B98&lt;=DATE(2026,6,23))*Daily_Ops_Data!D3:D98)</f>
        <v>170088</v>
      </c>
      <c r="F16" s="10" t="s">
        <v>16</v>
      </c>
      <c r="G16" s="12" t="n">
        <f aca="false">COUNTIF(Issue_Log!D3:D30,F16)</f>
        <v>1</v>
      </c>
      <c r="I16" s="10" t="s">
        <v>15</v>
      </c>
      <c r="J16" s="13" t="n">
        <f aca="false">IFERROR(AVERAGEIFS(Daily_Ops_Data!L3:L98,Daily_Ops_Data!B3:B98,"&gt;="&amp;DATE(2026,6,17),Daily_Ops_Data!B3:B98,"&lt;="&amp;DATE(2026,6,23)),0)</f>
        <v>0.00577114577567093</v>
      </c>
    </row>
    <row r="17" customFormat="false" ht="15" hidden="false" customHeight="false" outlineLevel="0" collapsed="false">
      <c r="C17" s="10" t="s">
        <v>17</v>
      </c>
      <c r="D17" s="11" t="n">
        <f aca="false">SUMPRODUCT((Daily_Ops_Data!B3:B98&gt;=DATE(2026,6,24))*(Daily_Ops_Data!B3:B98&lt;=DATE(2026,6,30))*Daily_Ops_Data!C3:C98)</f>
        <v>147061</v>
      </c>
      <c r="E17" s="11" t="n">
        <f aca="false">SUMPRODUCT((Daily_Ops_Data!B3:B98&gt;=DATE(2026,6,24))*(Daily_Ops_Data!B3:B98&lt;=DATE(2026,6,30))*Daily_Ops_Data!D3:D98)</f>
        <v>141449</v>
      </c>
      <c r="F17" s="10" t="s">
        <v>18</v>
      </c>
      <c r="G17" s="12" t="n">
        <f aca="false">COUNTIF(Issue_Log!D3:D30,F17)</f>
        <v>4</v>
      </c>
      <c r="I17" s="10" t="s">
        <v>17</v>
      </c>
      <c r="J17" s="13" t="n">
        <f aca="false">IFERROR(AVERAGEIFS(Daily_Ops_Data!L3:L98,Daily_Ops_Data!B3:B98,"&gt;="&amp;DATE(2026,6,24),Daily_Ops_Data!B3:B98,"&lt;="&amp;DATE(2026,6,30)),0)</f>
        <v>0.00740706994720583</v>
      </c>
    </row>
    <row r="18" customFormat="false" ht="15" hidden="false" customHeight="false" outlineLevel="0" collapsed="false">
      <c r="C18" s="10" t="s">
        <v>19</v>
      </c>
      <c r="D18" s="11" t="n">
        <f aca="false">SUMPRODUCT((Daily_Ops_Data!B3:B98&gt;=DATE(2026,7,1))*(Daily_Ops_Data!B3:B98&lt;=DATE(2026,7,7))*Daily_Ops_Data!C3:C98)</f>
        <v>154209</v>
      </c>
      <c r="E18" s="11" t="n">
        <f aca="false">SUMPRODUCT((Daily_Ops_Data!B3:B98&gt;=DATE(2026,7,1))*(Daily_Ops_Data!B3:B98&lt;=DATE(2026,7,7))*Daily_Ops_Data!D3:D98)</f>
        <v>148266</v>
      </c>
      <c r="F18" s="10" t="s">
        <v>20</v>
      </c>
      <c r="G18" s="12" t="n">
        <f aca="false">COUNTIF(Issue_Log!D3:D30,F18)</f>
        <v>4</v>
      </c>
      <c r="I18" s="10" t="s">
        <v>19</v>
      </c>
      <c r="J18" s="13" t="n">
        <f aca="false">IFERROR(AVERAGEIFS(Daily_Ops_Data!L3:L98,Daily_Ops_Data!B3:B98,"&gt;="&amp;DATE(2026,7,1),Daily_Ops_Data!B3:B98,"&lt;="&amp;DATE(2026,7,7)),0)</f>
        <v>0.00722255623562243</v>
      </c>
    </row>
    <row r="19" customFormat="false" ht="15" hidden="false" customHeight="false" outlineLevel="0" collapsed="false">
      <c r="C19" s="10" t="s">
        <v>21</v>
      </c>
      <c r="D19" s="11" t="n">
        <f aca="false">SUMPRODUCT((Daily_Ops_Data!B3:B98&gt;=DATE(2026,7,8))*(Daily_Ops_Data!B3:B98&lt;=DATE(2026,7,14))*Daily_Ops_Data!C3:C98)</f>
        <v>139898</v>
      </c>
      <c r="E19" s="11" t="n">
        <f aca="false">SUMPRODUCT((Daily_Ops_Data!B3:B98&gt;=DATE(2026,7,8))*(Daily_Ops_Data!B3:B98&lt;=DATE(2026,7,14))*Daily_Ops_Data!D3:D98)</f>
        <v>141259</v>
      </c>
      <c r="F19" s="10" t="s">
        <v>22</v>
      </c>
      <c r="G19" s="12" t="n">
        <f aca="false">COUNTIF(Issue_Log!D3:D30,F19)</f>
        <v>3</v>
      </c>
      <c r="I19" s="10" t="s">
        <v>21</v>
      </c>
      <c r="J19" s="13" t="n">
        <f aca="false">IFERROR(AVERAGEIFS(Daily_Ops_Data!L3:L98,Daily_Ops_Data!B3:B98,"&gt;="&amp;DATE(2026,7,8),Daily_Ops_Data!B3:B98,"&lt;="&amp;DATE(2026,7,14)),0)</f>
        <v>0.00617626653878755</v>
      </c>
    </row>
    <row r="20" customFormat="false" ht="15" hidden="false" customHeight="false" outlineLevel="0" collapsed="false">
      <c r="C20" s="10" t="s">
        <v>23</v>
      </c>
      <c r="D20" s="11" t="n">
        <f aca="false">SUMPRODUCT((Daily_Ops_Data!B3:B98&gt;=DATE(2026,7,15))*(Daily_Ops_Data!B3:B98&lt;=DATE(2026,7,21))*Daily_Ops_Data!C3:C98)</f>
        <v>167662</v>
      </c>
      <c r="E20" s="11" t="n">
        <f aca="false">SUMPRODUCT((Daily_Ops_Data!B3:B98&gt;=DATE(2026,7,15))*(Daily_Ops_Data!B3:B98&lt;=DATE(2026,7,21))*Daily_Ops_Data!D3:D98)</f>
        <v>164318</v>
      </c>
      <c r="F20" s="10" t="s">
        <v>24</v>
      </c>
      <c r="G20" s="12" t="n">
        <f aca="false">COUNTIF(Issue_Log!D3:D30,F20)</f>
        <v>8</v>
      </c>
      <c r="I20" s="10" t="s">
        <v>23</v>
      </c>
      <c r="J20" s="13" t="n">
        <f aca="false">IFERROR(AVERAGEIFS(Daily_Ops_Data!L3:L98,Daily_Ops_Data!B3:B98,"&gt;="&amp;DATE(2026,7,15),Daily_Ops_Data!B3:B98,"&lt;="&amp;DATE(2026,7,21)),0)</f>
        <v>0.00489311290681253</v>
      </c>
    </row>
    <row r="21" customFormat="false" ht="15" hidden="false" customHeight="false" outlineLevel="0" collapsed="false">
      <c r="F21" s="10" t="s">
        <v>25</v>
      </c>
      <c r="G21" s="12" t="n">
        <f aca="false">COUNTIF(Issue_Log!D3:D30,F21)</f>
        <v>4</v>
      </c>
    </row>
    <row r="40" customFormat="false" ht="15" hidden="false" customHeight="false" outlineLevel="0" collapsed="false">
      <c r="C40" s="14" t="s">
        <v>26</v>
      </c>
      <c r="D40" s="14"/>
      <c r="E40" s="14"/>
      <c r="F40" s="14"/>
      <c r="G40" s="14"/>
      <c r="H40" s="14"/>
      <c r="I40" s="14"/>
      <c r="J40" s="14"/>
      <c r="K40" s="14"/>
      <c r="L40" s="14"/>
    </row>
  </sheetData>
  <mergeCells count="30">
    <mergeCell ref="B2:J2"/>
    <mergeCell ref="B3:J3"/>
    <mergeCell ref="C5:D5"/>
    <mergeCell ref="E5:F5"/>
    <mergeCell ref="G5:H5"/>
    <mergeCell ref="I5:J5"/>
    <mergeCell ref="C6:D7"/>
    <mergeCell ref="E6:F7"/>
    <mergeCell ref="G6:H7"/>
    <mergeCell ref="I6:J7"/>
    <mergeCell ref="C8:D8"/>
    <mergeCell ref="E8:F8"/>
    <mergeCell ref="G8:H8"/>
    <mergeCell ref="I8:J8"/>
    <mergeCell ref="C9:D9"/>
    <mergeCell ref="E9:F9"/>
    <mergeCell ref="G9:H9"/>
    <mergeCell ref="I9:J9"/>
    <mergeCell ref="C10:D11"/>
    <mergeCell ref="E10:F11"/>
    <mergeCell ref="G10:H11"/>
    <mergeCell ref="I10:J11"/>
    <mergeCell ref="C12:D12"/>
    <mergeCell ref="E12:F12"/>
    <mergeCell ref="G12:H12"/>
    <mergeCell ref="I12:J12"/>
    <mergeCell ref="C14:E14"/>
    <mergeCell ref="F14:G14"/>
    <mergeCell ref="I14:J14"/>
    <mergeCell ref="C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2" min="10" style="0" width="12"/>
    <col collapsed="false" customWidth="true" hidden="false" outlineLevel="0" max="13" min="13" style="0" width="9"/>
  </cols>
  <sheetData>
    <row r="2" customFormat="false" ht="15" hidden="false" customHeight="false" outlineLevel="0" collapsed="false">
      <c r="B2" s="15" t="s">
        <v>27</v>
      </c>
      <c r="C2" s="15" t="s">
        <v>28</v>
      </c>
      <c r="D2" s="15" t="s">
        <v>29</v>
      </c>
      <c r="E2" s="15" t="s">
        <v>30</v>
      </c>
      <c r="F2" s="15" t="s">
        <v>31</v>
      </c>
      <c r="G2" s="15" t="s">
        <v>32</v>
      </c>
      <c r="H2" s="15" t="s">
        <v>33</v>
      </c>
      <c r="I2" s="15" t="s">
        <v>34</v>
      </c>
      <c r="J2" s="15" t="s">
        <v>35</v>
      </c>
      <c r="K2" s="15" t="s">
        <v>36</v>
      </c>
      <c r="L2" s="15" t="s">
        <v>37</v>
      </c>
      <c r="M2" s="15" t="s">
        <v>38</v>
      </c>
    </row>
    <row r="3" customFormat="false" ht="15" hidden="false" customHeight="false" outlineLevel="0" collapsed="false">
      <c r="B3" s="16" t="n">
        <v>46129</v>
      </c>
      <c r="C3" s="11" t="n">
        <v>19351</v>
      </c>
      <c r="D3" s="11" t="n">
        <v>18863</v>
      </c>
      <c r="E3" s="11" t="n">
        <v>558</v>
      </c>
      <c r="F3" s="11" t="n">
        <v>202</v>
      </c>
      <c r="G3" s="17" t="n">
        <v>0.9123</v>
      </c>
      <c r="H3" s="12" t="n">
        <v>61</v>
      </c>
      <c r="I3" s="12" t="n">
        <v>65</v>
      </c>
      <c r="J3" s="18" t="n">
        <f aca="false">D3/E3</f>
        <v>33.8046594982079</v>
      </c>
      <c r="K3" s="19" t="n">
        <f aca="false">(D3-C3)/C3</f>
        <v>-0.025218334969769</v>
      </c>
      <c r="L3" s="20" t="n">
        <f aca="false">F3/D3</f>
        <v>0.0107087949954938</v>
      </c>
      <c r="M3" s="21" t="str">
        <f aca="false">IF(OR(G3&lt;0.9,K3&lt;-0.05),"Red",IF(OR(G3&lt;0.95,K3&lt;-0.02),"Amber","Green"))</f>
        <v>Amber</v>
      </c>
    </row>
    <row r="4" customFormat="false" ht="15" hidden="false" customHeight="false" outlineLevel="0" collapsed="false">
      <c r="B4" s="16" t="n">
        <v>46130</v>
      </c>
      <c r="C4" s="11" t="n">
        <v>21888</v>
      </c>
      <c r="D4" s="11" t="n">
        <v>22996</v>
      </c>
      <c r="E4" s="11" t="n">
        <v>613</v>
      </c>
      <c r="F4" s="11" t="n">
        <v>86</v>
      </c>
      <c r="G4" s="17" t="n">
        <v>0.9381</v>
      </c>
      <c r="H4" s="12" t="n">
        <v>62</v>
      </c>
      <c r="I4" s="12" t="n">
        <v>66</v>
      </c>
      <c r="J4" s="18" t="n">
        <f aca="false">D4/E4</f>
        <v>37.5138662316476</v>
      </c>
      <c r="K4" s="19" t="n">
        <f aca="false">(D4-C4)/C4</f>
        <v>0.0506213450292398</v>
      </c>
      <c r="L4" s="20" t="n">
        <f aca="false">F4/D4</f>
        <v>0.00373978083144895</v>
      </c>
      <c r="M4" s="21" t="str">
        <f aca="false">IF(OR(G4&lt;0.9,K4&lt;-0.05),"Red",IF(OR(G4&lt;0.95,K4&lt;-0.02),"Amber","Green"))</f>
        <v>Amber</v>
      </c>
    </row>
    <row r="5" customFormat="false" ht="15" hidden="false" customHeight="false" outlineLevel="0" collapsed="false">
      <c r="B5" s="16" t="n">
        <v>46131</v>
      </c>
      <c r="C5" s="11" t="n">
        <v>18026</v>
      </c>
      <c r="D5" s="11" t="n">
        <v>15883</v>
      </c>
      <c r="E5" s="11" t="n">
        <v>494</v>
      </c>
      <c r="F5" s="11" t="n">
        <v>189</v>
      </c>
      <c r="G5" s="17" t="n">
        <v>0.9292</v>
      </c>
      <c r="H5" s="12" t="n">
        <v>59</v>
      </c>
      <c r="I5" s="12" t="n">
        <v>63</v>
      </c>
      <c r="J5" s="18" t="n">
        <f aca="false">D5/E5</f>
        <v>32.1518218623482</v>
      </c>
      <c r="K5" s="19" t="n">
        <f aca="false">(D5-C5)/C5</f>
        <v>-0.118883834461334</v>
      </c>
      <c r="L5" s="20" t="n">
        <f aca="false">F5/D5</f>
        <v>0.0118995152049361</v>
      </c>
      <c r="M5" s="21" t="str">
        <f aca="false">IF(OR(G5&lt;0.9,K5&lt;-0.05),"Red",IF(OR(G5&lt;0.95,K5&lt;-0.02),"Amber","Green"))</f>
        <v>Red</v>
      </c>
    </row>
    <row r="6" customFormat="false" ht="15" hidden="false" customHeight="false" outlineLevel="0" collapsed="false">
      <c r="B6" s="16" t="n">
        <v>46132</v>
      </c>
      <c r="C6" s="11" t="n">
        <v>24154</v>
      </c>
      <c r="D6" s="11" t="n">
        <v>22905</v>
      </c>
      <c r="E6" s="11" t="n">
        <v>604</v>
      </c>
      <c r="F6" s="11" t="n">
        <v>217</v>
      </c>
      <c r="G6" s="17" t="n">
        <v>0.8849</v>
      </c>
      <c r="H6" s="12" t="n">
        <v>78</v>
      </c>
      <c r="I6" s="12" t="n">
        <v>82</v>
      </c>
      <c r="J6" s="18" t="n">
        <f aca="false">D6/E6</f>
        <v>37.9221854304636</v>
      </c>
      <c r="K6" s="19" t="n">
        <f aca="false">(D6-C6)/C6</f>
        <v>-0.051709861720626</v>
      </c>
      <c r="L6" s="20" t="n">
        <f aca="false">F6/D6</f>
        <v>0.00947391399257804</v>
      </c>
      <c r="M6" s="21" t="str">
        <f aca="false">IF(OR(G6&lt;0.9,K6&lt;-0.05),"Red",IF(OR(G6&lt;0.95,K6&lt;-0.02),"Amber","Green"))</f>
        <v>Red</v>
      </c>
    </row>
    <row r="7" customFormat="false" ht="15" hidden="false" customHeight="false" outlineLevel="0" collapsed="false">
      <c r="B7" s="16" t="n">
        <v>46133</v>
      </c>
      <c r="C7" s="11" t="n">
        <v>25168</v>
      </c>
      <c r="D7" s="11" t="n">
        <v>24634</v>
      </c>
      <c r="E7" s="11" t="n">
        <v>543</v>
      </c>
      <c r="F7" s="11" t="n">
        <v>48</v>
      </c>
      <c r="G7" s="17" t="n">
        <v>0.99</v>
      </c>
      <c r="H7" s="12" t="n">
        <v>72</v>
      </c>
      <c r="I7" s="12" t="n">
        <v>71</v>
      </c>
      <c r="J7" s="18" t="n">
        <f aca="false">D7/E7</f>
        <v>45.3664825046041</v>
      </c>
      <c r="K7" s="19" t="n">
        <f aca="false">(D7-C7)/C7</f>
        <v>-0.0212174189446917</v>
      </c>
      <c r="L7" s="20" t="n">
        <f aca="false">F7/D7</f>
        <v>0.00194852642688966</v>
      </c>
      <c r="M7" s="21" t="str">
        <f aca="false">IF(OR(G7&lt;0.9,K7&lt;-0.05),"Red",IF(OR(G7&lt;0.95,K7&lt;-0.02),"Amber","Green"))</f>
        <v>Amber</v>
      </c>
    </row>
    <row r="8" customFormat="false" ht="15" hidden="false" customHeight="false" outlineLevel="0" collapsed="false">
      <c r="B8" s="16" t="n">
        <v>46134</v>
      </c>
      <c r="C8" s="11" t="n">
        <v>23684</v>
      </c>
      <c r="D8" s="11" t="n">
        <v>21958</v>
      </c>
      <c r="E8" s="11" t="n">
        <v>550</v>
      </c>
      <c r="F8" s="11" t="n">
        <v>134</v>
      </c>
      <c r="G8" s="17" t="n">
        <v>0.8827</v>
      </c>
      <c r="H8" s="12" t="n">
        <v>78</v>
      </c>
      <c r="I8" s="12" t="n">
        <v>83</v>
      </c>
      <c r="J8" s="18" t="n">
        <f aca="false">D8/E8</f>
        <v>39.9236363636364</v>
      </c>
      <c r="K8" s="19" t="n">
        <f aca="false">(D8-C8)/C8</f>
        <v>-0.0728762033440297</v>
      </c>
      <c r="L8" s="20" t="n">
        <f aca="false">F8/D8</f>
        <v>0.00610255943164223</v>
      </c>
      <c r="M8" s="21" t="str">
        <f aca="false">IF(OR(G8&lt;0.9,K8&lt;-0.05),"Red",IF(OR(G8&lt;0.95,K8&lt;-0.02),"Amber","Green"))</f>
        <v>Red</v>
      </c>
    </row>
    <row r="9" customFormat="false" ht="15" hidden="false" customHeight="false" outlineLevel="0" collapsed="false">
      <c r="B9" s="16" t="n">
        <v>46135</v>
      </c>
      <c r="C9" s="11" t="n">
        <v>18724</v>
      </c>
      <c r="D9" s="11" t="n">
        <v>17035</v>
      </c>
      <c r="E9" s="11" t="n">
        <v>582</v>
      </c>
      <c r="F9" s="11" t="n">
        <v>45</v>
      </c>
      <c r="G9" s="17" t="n">
        <v>0.9321</v>
      </c>
      <c r="H9" s="12" t="n">
        <v>72</v>
      </c>
      <c r="I9" s="12" t="n">
        <v>75</v>
      </c>
      <c r="J9" s="18" t="n">
        <f aca="false">D9/E9</f>
        <v>29.2697594501718</v>
      </c>
      <c r="K9" s="19" t="n">
        <f aca="false">(D9-C9)/C9</f>
        <v>-0.0902050843836787</v>
      </c>
      <c r="L9" s="20" t="n">
        <f aca="false">F9/D9</f>
        <v>0.00264162019371881</v>
      </c>
      <c r="M9" s="21" t="str">
        <f aca="false">IF(OR(G9&lt;0.9,K9&lt;-0.05),"Red",IF(OR(G9&lt;0.95,K9&lt;-0.02),"Amber","Green"))</f>
        <v>Red</v>
      </c>
    </row>
    <row r="10" customFormat="false" ht="15" hidden="false" customHeight="false" outlineLevel="0" collapsed="false">
      <c r="B10" s="16" t="n">
        <v>46136</v>
      </c>
      <c r="C10" s="11" t="n">
        <v>20809</v>
      </c>
      <c r="D10" s="11" t="n">
        <v>20252</v>
      </c>
      <c r="E10" s="11" t="n">
        <v>517</v>
      </c>
      <c r="F10" s="11" t="n">
        <v>87</v>
      </c>
      <c r="G10" s="17" t="n">
        <v>0.9565</v>
      </c>
      <c r="H10" s="12" t="n">
        <v>70</v>
      </c>
      <c r="I10" s="12" t="n">
        <v>75</v>
      </c>
      <c r="J10" s="18" t="n">
        <f aca="false">D10/E10</f>
        <v>39.1721470019342</v>
      </c>
      <c r="K10" s="19" t="n">
        <f aca="false">(D10-C10)/C10</f>
        <v>-0.0267672641645442</v>
      </c>
      <c r="L10" s="20" t="n">
        <f aca="false">F10/D10</f>
        <v>0.00429587201264073</v>
      </c>
      <c r="M10" s="21" t="str">
        <f aca="false">IF(OR(G10&lt;0.9,K10&lt;-0.05),"Red",IF(OR(G10&lt;0.95,K10&lt;-0.02),"Amber","Green"))</f>
        <v>Amber</v>
      </c>
    </row>
    <row r="11" customFormat="false" ht="15" hidden="false" customHeight="false" outlineLevel="0" collapsed="false">
      <c r="B11" s="16" t="n">
        <v>46137</v>
      </c>
      <c r="C11" s="11" t="n">
        <v>24718</v>
      </c>
      <c r="D11" s="11" t="n">
        <v>23480</v>
      </c>
      <c r="E11" s="11" t="n">
        <v>435</v>
      </c>
      <c r="F11" s="11" t="n">
        <v>90</v>
      </c>
      <c r="G11" s="17" t="n">
        <v>0.904</v>
      </c>
      <c r="H11" s="12" t="n">
        <v>80</v>
      </c>
      <c r="I11" s="12" t="n">
        <v>86</v>
      </c>
      <c r="J11" s="18" t="n">
        <f aca="false">D11/E11</f>
        <v>53.9770114942529</v>
      </c>
      <c r="K11" s="19" t="n">
        <f aca="false">(D11-C11)/C11</f>
        <v>-0.050084958329962</v>
      </c>
      <c r="L11" s="20" t="n">
        <f aca="false">F11/D11</f>
        <v>0.00383304940374787</v>
      </c>
      <c r="M11" s="21" t="str">
        <f aca="false">IF(OR(G11&lt;0.9,K11&lt;-0.05),"Red",IF(OR(G11&lt;0.95,K11&lt;-0.02),"Amber","Green"))</f>
        <v>Red</v>
      </c>
    </row>
    <row r="12" customFormat="false" ht="15" hidden="false" customHeight="false" outlineLevel="0" collapsed="false">
      <c r="B12" s="16" t="n">
        <v>46138</v>
      </c>
      <c r="C12" s="11" t="n">
        <v>23390</v>
      </c>
      <c r="D12" s="11" t="n">
        <v>24281</v>
      </c>
      <c r="E12" s="11" t="n">
        <v>610</v>
      </c>
      <c r="F12" s="11" t="n">
        <v>188</v>
      </c>
      <c r="G12" s="17" t="n">
        <v>0.9937</v>
      </c>
      <c r="H12" s="12" t="n">
        <v>57</v>
      </c>
      <c r="I12" s="12" t="n">
        <v>50</v>
      </c>
      <c r="J12" s="18" t="n">
        <f aca="false">D12/E12</f>
        <v>39.8049180327869</v>
      </c>
      <c r="K12" s="19" t="n">
        <f aca="false">(D12-C12)/C12</f>
        <v>0.0380932022231723</v>
      </c>
      <c r="L12" s="20" t="n">
        <f aca="false">F12/D12</f>
        <v>0.0077426794613072</v>
      </c>
      <c r="M12" s="21" t="str">
        <f aca="false">IF(OR(G12&lt;0.9,K12&lt;-0.05),"Red",IF(OR(G12&lt;0.95,K12&lt;-0.02),"Amber","Green"))</f>
        <v>Green</v>
      </c>
    </row>
    <row r="13" customFormat="false" ht="15" hidden="false" customHeight="false" outlineLevel="0" collapsed="false">
      <c r="B13" s="16" t="n">
        <v>46139</v>
      </c>
      <c r="C13" s="11" t="n">
        <v>22588</v>
      </c>
      <c r="D13" s="11" t="n">
        <v>22339</v>
      </c>
      <c r="E13" s="11" t="n">
        <v>532</v>
      </c>
      <c r="F13" s="11" t="n">
        <v>139</v>
      </c>
      <c r="G13" s="17" t="n">
        <v>0.9031</v>
      </c>
      <c r="H13" s="12" t="n">
        <v>59</v>
      </c>
      <c r="I13" s="12" t="n">
        <v>65</v>
      </c>
      <c r="J13" s="18" t="n">
        <f aca="false">D13/E13</f>
        <v>41.9906015037594</v>
      </c>
      <c r="K13" s="19" t="n">
        <f aca="false">(D13-C13)/C13</f>
        <v>-0.0110235523286701</v>
      </c>
      <c r="L13" s="20" t="n">
        <f aca="false">F13/D13</f>
        <v>0.00622230180401988</v>
      </c>
      <c r="M13" s="21" t="str">
        <f aca="false">IF(OR(G13&lt;0.9,K13&lt;-0.05),"Red",IF(OR(G13&lt;0.95,K13&lt;-0.02),"Amber","Green"))</f>
        <v>Amber</v>
      </c>
    </row>
    <row r="14" customFormat="false" ht="15" hidden="false" customHeight="false" outlineLevel="0" collapsed="false">
      <c r="B14" s="16" t="n">
        <v>46140</v>
      </c>
      <c r="C14" s="11" t="n">
        <v>22389</v>
      </c>
      <c r="D14" s="11" t="n">
        <v>21866</v>
      </c>
      <c r="E14" s="11" t="n">
        <v>478</v>
      </c>
      <c r="F14" s="11" t="n">
        <v>155</v>
      </c>
      <c r="G14" s="17" t="n">
        <v>0.9377</v>
      </c>
      <c r="H14" s="12" t="n">
        <v>65</v>
      </c>
      <c r="I14" s="12" t="n">
        <v>64</v>
      </c>
      <c r="J14" s="18" t="n">
        <f aca="false">D14/E14</f>
        <v>45.744769874477</v>
      </c>
      <c r="K14" s="19" t="n">
        <f aca="false">(D14-C14)/C14</f>
        <v>-0.0233596855598732</v>
      </c>
      <c r="L14" s="20" t="n">
        <f aca="false">F14/D14</f>
        <v>0.00708863075093753</v>
      </c>
      <c r="M14" s="21" t="str">
        <f aca="false">IF(OR(G14&lt;0.9,K14&lt;-0.05),"Red",IF(OR(G14&lt;0.95,K14&lt;-0.02),"Amber","Green"))</f>
        <v>Amber</v>
      </c>
    </row>
    <row r="15" customFormat="false" ht="15" hidden="false" customHeight="false" outlineLevel="0" collapsed="false">
      <c r="B15" s="16" t="n">
        <v>46141</v>
      </c>
      <c r="C15" s="11" t="n">
        <v>21166</v>
      </c>
      <c r="D15" s="11" t="n">
        <v>20054</v>
      </c>
      <c r="E15" s="11" t="n">
        <v>425</v>
      </c>
      <c r="F15" s="11" t="n">
        <v>63</v>
      </c>
      <c r="G15" s="17" t="n">
        <v>0.8983</v>
      </c>
      <c r="H15" s="12" t="n">
        <v>77</v>
      </c>
      <c r="I15" s="12" t="n">
        <v>76</v>
      </c>
      <c r="J15" s="18" t="n">
        <f aca="false">D15/E15</f>
        <v>47.1858823529412</v>
      </c>
      <c r="K15" s="19" t="n">
        <f aca="false">(D15-C15)/C15</f>
        <v>-0.0525370877822924</v>
      </c>
      <c r="L15" s="20" t="n">
        <f aca="false">F15/D15</f>
        <v>0.0031415179016655</v>
      </c>
      <c r="M15" s="21" t="str">
        <f aca="false">IF(OR(G15&lt;0.9,K15&lt;-0.05),"Red",IF(OR(G15&lt;0.95,K15&lt;-0.02),"Amber","Green"))</f>
        <v>Red</v>
      </c>
    </row>
    <row r="16" customFormat="false" ht="15" hidden="false" customHeight="false" outlineLevel="0" collapsed="false">
      <c r="B16" s="16" t="n">
        <v>46142</v>
      </c>
      <c r="C16" s="11" t="n">
        <v>18023</v>
      </c>
      <c r="D16" s="11" t="n">
        <v>17836</v>
      </c>
      <c r="E16" s="11" t="n">
        <v>434</v>
      </c>
      <c r="F16" s="11" t="n">
        <v>193</v>
      </c>
      <c r="G16" s="17" t="n">
        <v>0.966</v>
      </c>
      <c r="H16" s="12" t="n">
        <v>62</v>
      </c>
      <c r="I16" s="12" t="n">
        <v>63</v>
      </c>
      <c r="J16" s="18" t="n">
        <f aca="false">D16/E16</f>
        <v>41.0967741935484</v>
      </c>
      <c r="K16" s="19" t="n">
        <f aca="false">(D16-C16)/C16</f>
        <v>-0.0103756311379903</v>
      </c>
      <c r="L16" s="20" t="n">
        <f aca="false">F16/D16</f>
        <v>0.01082081184122</v>
      </c>
      <c r="M16" s="21" t="str">
        <f aca="false">IF(OR(G16&lt;0.9,K16&lt;-0.05),"Red",IF(OR(G16&lt;0.95,K16&lt;-0.02),"Amber","Green"))</f>
        <v>Green</v>
      </c>
    </row>
    <row r="17" customFormat="false" ht="15" hidden="false" customHeight="false" outlineLevel="0" collapsed="false">
      <c r="B17" s="16" t="n">
        <v>46143</v>
      </c>
      <c r="C17" s="11" t="n">
        <v>22988</v>
      </c>
      <c r="D17" s="11" t="n">
        <v>22093</v>
      </c>
      <c r="E17" s="11" t="n">
        <v>531</v>
      </c>
      <c r="F17" s="11" t="n">
        <v>199</v>
      </c>
      <c r="G17" s="17" t="n">
        <v>0.893</v>
      </c>
      <c r="H17" s="12" t="n">
        <v>76</v>
      </c>
      <c r="I17" s="12" t="n">
        <v>70</v>
      </c>
      <c r="J17" s="18" t="n">
        <f aca="false">D17/E17</f>
        <v>41.6064030131827</v>
      </c>
      <c r="K17" s="19" t="n">
        <f aca="false">(D17-C17)/C17</f>
        <v>-0.0389333565338437</v>
      </c>
      <c r="L17" s="20" t="n">
        <f aca="false">F17/D17</f>
        <v>0.00900737790250306</v>
      </c>
      <c r="M17" s="21" t="str">
        <f aca="false">IF(OR(G17&lt;0.9,K17&lt;-0.05),"Red",IF(OR(G17&lt;0.95,K17&lt;-0.02),"Amber","Green"))</f>
        <v>Red</v>
      </c>
    </row>
    <row r="18" customFormat="false" ht="15" hidden="false" customHeight="false" outlineLevel="0" collapsed="false">
      <c r="B18" s="16" t="n">
        <v>46144</v>
      </c>
      <c r="C18" s="11" t="n">
        <v>23132</v>
      </c>
      <c r="D18" s="11" t="n">
        <v>22358</v>
      </c>
      <c r="E18" s="11" t="n">
        <v>587</v>
      </c>
      <c r="F18" s="11" t="n">
        <v>125</v>
      </c>
      <c r="G18" s="17" t="n">
        <v>0.9199</v>
      </c>
      <c r="H18" s="12" t="n">
        <v>74</v>
      </c>
      <c r="I18" s="12" t="n">
        <v>80</v>
      </c>
      <c r="J18" s="18" t="n">
        <f aca="false">D18/E18</f>
        <v>38.0885860306644</v>
      </c>
      <c r="K18" s="19" t="n">
        <f aca="false">(D18-C18)/C18</f>
        <v>-0.0334601417949161</v>
      </c>
      <c r="L18" s="20" t="n">
        <f aca="false">F18/D18</f>
        <v>0.00559083996779676</v>
      </c>
      <c r="M18" s="21" t="str">
        <f aca="false">IF(OR(G18&lt;0.9,K18&lt;-0.05),"Red",IF(OR(G18&lt;0.95,K18&lt;-0.02),"Amber","Green"))</f>
        <v>Amber</v>
      </c>
    </row>
    <row r="19" customFormat="false" ht="15" hidden="false" customHeight="false" outlineLevel="0" collapsed="false">
      <c r="B19" s="16" t="n">
        <v>46145</v>
      </c>
      <c r="C19" s="11" t="n">
        <v>20511</v>
      </c>
      <c r="D19" s="11" t="n">
        <v>19317</v>
      </c>
      <c r="E19" s="11" t="n">
        <v>441</v>
      </c>
      <c r="F19" s="11" t="n">
        <v>56</v>
      </c>
      <c r="G19" s="17" t="n">
        <v>0.9862</v>
      </c>
      <c r="H19" s="12" t="n">
        <v>60</v>
      </c>
      <c r="I19" s="12" t="n">
        <v>64</v>
      </c>
      <c r="J19" s="18" t="n">
        <f aca="false">D19/E19</f>
        <v>43.8027210884354</v>
      </c>
      <c r="K19" s="19" t="n">
        <f aca="false">(D19-C19)/C19</f>
        <v>-0.0582126663741407</v>
      </c>
      <c r="L19" s="20" t="n">
        <f aca="false">F19/D19</f>
        <v>0.00289900088005384</v>
      </c>
      <c r="M19" s="21" t="str">
        <f aca="false">IF(OR(G19&lt;0.9,K19&lt;-0.05),"Red",IF(OR(G19&lt;0.95,K19&lt;-0.02),"Amber","Green"))</f>
        <v>Red</v>
      </c>
    </row>
    <row r="20" customFormat="false" ht="15" hidden="false" customHeight="false" outlineLevel="0" collapsed="false">
      <c r="B20" s="16" t="n">
        <v>46146</v>
      </c>
      <c r="C20" s="11" t="n">
        <v>21512</v>
      </c>
      <c r="D20" s="11" t="n">
        <v>20847</v>
      </c>
      <c r="E20" s="11" t="n">
        <v>452</v>
      </c>
      <c r="F20" s="11" t="n">
        <v>49</v>
      </c>
      <c r="G20" s="17" t="n">
        <v>0.9577</v>
      </c>
      <c r="H20" s="12" t="n">
        <v>76</v>
      </c>
      <c r="I20" s="12" t="n">
        <v>71</v>
      </c>
      <c r="J20" s="18" t="n">
        <f aca="false">D20/E20</f>
        <v>46.1216814159292</v>
      </c>
      <c r="K20" s="19" t="n">
        <f aca="false">(D20-C20)/C20</f>
        <v>-0.0309129788025288</v>
      </c>
      <c r="L20" s="20" t="n">
        <f aca="false">F20/D20</f>
        <v>0.00235045809948674</v>
      </c>
      <c r="M20" s="21" t="str">
        <f aca="false">IF(OR(G20&lt;0.9,K20&lt;-0.05),"Red",IF(OR(G20&lt;0.95,K20&lt;-0.02),"Amber","Green"))</f>
        <v>Amber</v>
      </c>
    </row>
    <row r="21" customFormat="false" ht="15" hidden="false" customHeight="false" outlineLevel="0" collapsed="false">
      <c r="B21" s="16" t="n">
        <v>46147</v>
      </c>
      <c r="C21" s="11" t="n">
        <v>21334</v>
      </c>
      <c r="D21" s="11" t="n">
        <v>22893</v>
      </c>
      <c r="E21" s="11" t="n">
        <v>618</v>
      </c>
      <c r="F21" s="11" t="n">
        <v>191</v>
      </c>
      <c r="G21" s="17" t="n">
        <v>0.8816</v>
      </c>
      <c r="H21" s="12" t="n">
        <v>66</v>
      </c>
      <c r="I21" s="12" t="n">
        <v>65</v>
      </c>
      <c r="J21" s="18" t="n">
        <f aca="false">D21/E21</f>
        <v>37.0436893203884</v>
      </c>
      <c r="K21" s="19" t="n">
        <f aca="false">(D21-C21)/C21</f>
        <v>0.0730758413799569</v>
      </c>
      <c r="L21" s="20" t="n">
        <f aca="false">F21/D21</f>
        <v>0.00834316166513782</v>
      </c>
      <c r="M21" s="21" t="str">
        <f aca="false">IF(OR(G21&lt;0.9,K21&lt;-0.05),"Red",IF(OR(G21&lt;0.95,K21&lt;-0.02),"Amber","Green"))</f>
        <v>Red</v>
      </c>
    </row>
    <row r="22" customFormat="false" ht="15" hidden="false" customHeight="false" outlineLevel="0" collapsed="false">
      <c r="B22" s="16" t="n">
        <v>46148</v>
      </c>
      <c r="C22" s="11" t="n">
        <v>22146</v>
      </c>
      <c r="D22" s="11" t="n">
        <v>21484</v>
      </c>
      <c r="E22" s="11" t="n">
        <v>553</v>
      </c>
      <c r="F22" s="11" t="n">
        <v>102</v>
      </c>
      <c r="G22" s="17" t="n">
        <v>0.8987</v>
      </c>
      <c r="H22" s="12" t="n">
        <v>57</v>
      </c>
      <c r="I22" s="12" t="n">
        <v>56</v>
      </c>
      <c r="J22" s="18" t="n">
        <f aca="false">D22/E22</f>
        <v>38.8499095840868</v>
      </c>
      <c r="K22" s="19" t="n">
        <f aca="false">(D22-C22)/C22</f>
        <v>-0.0298925313826425</v>
      </c>
      <c r="L22" s="20" t="n">
        <f aca="false">F22/D22</f>
        <v>0.00474771923291752</v>
      </c>
      <c r="M22" s="21" t="str">
        <f aca="false">IF(OR(G22&lt;0.9,K22&lt;-0.05),"Red",IF(OR(G22&lt;0.95,K22&lt;-0.02),"Amber","Green"))</f>
        <v>Red</v>
      </c>
    </row>
    <row r="23" customFormat="false" ht="15" hidden="false" customHeight="false" outlineLevel="0" collapsed="false">
      <c r="B23" s="16" t="n">
        <v>46149</v>
      </c>
      <c r="C23" s="11" t="n">
        <v>24596</v>
      </c>
      <c r="D23" s="11" t="n">
        <v>24064</v>
      </c>
      <c r="E23" s="11" t="n">
        <v>575</v>
      </c>
      <c r="F23" s="11" t="n">
        <v>163</v>
      </c>
      <c r="G23" s="17" t="n">
        <v>0.8866</v>
      </c>
      <c r="H23" s="12" t="n">
        <v>64</v>
      </c>
      <c r="I23" s="12" t="n">
        <v>56</v>
      </c>
      <c r="J23" s="18" t="n">
        <f aca="false">D23/E23</f>
        <v>41.8504347826087</v>
      </c>
      <c r="K23" s="19" t="n">
        <f aca="false">(D23-C23)/C23</f>
        <v>-0.0216295332574402</v>
      </c>
      <c r="L23" s="20" t="n">
        <f aca="false">F23/D23</f>
        <v>0.00677360372340426</v>
      </c>
      <c r="M23" s="21" t="str">
        <f aca="false">IF(OR(G23&lt;0.9,K23&lt;-0.05),"Red",IF(OR(G23&lt;0.95,K23&lt;-0.02),"Amber","Green"))</f>
        <v>Red</v>
      </c>
    </row>
    <row r="24" customFormat="false" ht="15" hidden="false" customHeight="false" outlineLevel="0" collapsed="false">
      <c r="B24" s="16" t="n">
        <v>46150</v>
      </c>
      <c r="C24" s="11" t="n">
        <v>24990</v>
      </c>
      <c r="D24" s="11" t="n">
        <v>23846</v>
      </c>
      <c r="E24" s="11" t="n">
        <v>552</v>
      </c>
      <c r="F24" s="11" t="n">
        <v>48</v>
      </c>
      <c r="G24" s="17" t="n">
        <v>0.9282</v>
      </c>
      <c r="H24" s="12" t="n">
        <v>60</v>
      </c>
      <c r="I24" s="12" t="n">
        <v>58</v>
      </c>
      <c r="J24" s="18" t="n">
        <f aca="false">D24/E24</f>
        <v>43.1992753623188</v>
      </c>
      <c r="K24" s="19" t="n">
        <f aca="false">(D24-C24)/C24</f>
        <v>-0.0457783113245298</v>
      </c>
      <c r="L24" s="20" t="n">
        <f aca="false">F24/D24</f>
        <v>0.00201291621236266</v>
      </c>
      <c r="M24" s="21" t="str">
        <f aca="false">IF(OR(G24&lt;0.9,K24&lt;-0.05),"Red",IF(OR(G24&lt;0.95,K24&lt;-0.02),"Amber","Green"))</f>
        <v>Amber</v>
      </c>
    </row>
    <row r="25" customFormat="false" ht="15" hidden="false" customHeight="false" outlineLevel="0" collapsed="false">
      <c r="B25" s="16" t="n">
        <v>46151</v>
      </c>
      <c r="C25" s="11" t="n">
        <v>18568</v>
      </c>
      <c r="D25" s="11" t="n">
        <v>19933</v>
      </c>
      <c r="E25" s="11" t="n">
        <v>488</v>
      </c>
      <c r="F25" s="11" t="n">
        <v>77</v>
      </c>
      <c r="G25" s="17" t="n">
        <v>0.9931</v>
      </c>
      <c r="H25" s="12" t="n">
        <v>78</v>
      </c>
      <c r="I25" s="12" t="n">
        <v>81</v>
      </c>
      <c r="J25" s="18" t="n">
        <f aca="false">D25/E25</f>
        <v>40.8463114754098</v>
      </c>
      <c r="K25" s="19" t="n">
        <f aca="false">(D25-C25)/C25</f>
        <v>0.0735135717363206</v>
      </c>
      <c r="L25" s="20" t="n">
        <f aca="false">F25/D25</f>
        <v>0.00386294085185371</v>
      </c>
      <c r="M25" s="21" t="str">
        <f aca="false">IF(OR(G25&lt;0.9,K25&lt;-0.05),"Red",IF(OR(G25&lt;0.95,K25&lt;-0.02),"Amber","Green"))</f>
        <v>Green</v>
      </c>
    </row>
    <row r="26" customFormat="false" ht="15" hidden="false" customHeight="false" outlineLevel="0" collapsed="false">
      <c r="B26" s="16" t="n">
        <v>46152</v>
      </c>
      <c r="C26" s="11" t="n">
        <v>21923</v>
      </c>
      <c r="D26" s="11" t="n">
        <v>19925</v>
      </c>
      <c r="E26" s="11" t="n">
        <v>470</v>
      </c>
      <c r="F26" s="11" t="n">
        <v>206</v>
      </c>
      <c r="G26" s="17" t="n">
        <v>0.9404</v>
      </c>
      <c r="H26" s="12" t="n">
        <v>78</v>
      </c>
      <c r="I26" s="12" t="n">
        <v>77</v>
      </c>
      <c r="J26" s="18" t="n">
        <f aca="false">D26/E26</f>
        <v>42.3936170212766</v>
      </c>
      <c r="K26" s="19" t="n">
        <f aca="false">(D26-C26)/C26</f>
        <v>-0.0911371618847785</v>
      </c>
      <c r="L26" s="20" t="n">
        <f aca="false">F26/D26</f>
        <v>0.0103387703889586</v>
      </c>
      <c r="M26" s="21" t="str">
        <f aca="false">IF(OR(G26&lt;0.9,K26&lt;-0.05),"Red",IF(OR(G26&lt;0.95,K26&lt;-0.02),"Amber","Green"))</f>
        <v>Red</v>
      </c>
    </row>
    <row r="27" customFormat="false" ht="15" hidden="false" customHeight="false" outlineLevel="0" collapsed="false">
      <c r="B27" s="16" t="n">
        <v>46153</v>
      </c>
      <c r="C27" s="11" t="n">
        <v>18231</v>
      </c>
      <c r="D27" s="11" t="n">
        <v>19933</v>
      </c>
      <c r="E27" s="11" t="n">
        <v>462</v>
      </c>
      <c r="F27" s="11" t="n">
        <v>133</v>
      </c>
      <c r="G27" s="17" t="n">
        <v>0.9715</v>
      </c>
      <c r="H27" s="12" t="n">
        <v>66</v>
      </c>
      <c r="I27" s="12" t="n">
        <v>67</v>
      </c>
      <c r="J27" s="18" t="n">
        <f aca="false">D27/E27</f>
        <v>43.1450216450216</v>
      </c>
      <c r="K27" s="19" t="n">
        <f aca="false">(D27-C27)/C27</f>
        <v>0.0933574680489277</v>
      </c>
      <c r="L27" s="20" t="n">
        <f aca="false">F27/D27</f>
        <v>0.00667235238047459</v>
      </c>
      <c r="M27" s="21" t="str">
        <f aca="false">IF(OR(G27&lt;0.9,K27&lt;-0.05),"Red",IF(OR(G27&lt;0.95,K27&lt;-0.02),"Amber","Green"))</f>
        <v>Green</v>
      </c>
    </row>
    <row r="28" customFormat="false" ht="15" hidden="false" customHeight="false" outlineLevel="0" collapsed="false">
      <c r="B28" s="16" t="n">
        <v>46154</v>
      </c>
      <c r="C28" s="11" t="n">
        <v>24330</v>
      </c>
      <c r="D28" s="11" t="n">
        <v>23875</v>
      </c>
      <c r="E28" s="11" t="n">
        <v>517</v>
      </c>
      <c r="F28" s="11" t="n">
        <v>162</v>
      </c>
      <c r="G28" s="17" t="n">
        <v>0.9154</v>
      </c>
      <c r="H28" s="12" t="n">
        <v>72</v>
      </c>
      <c r="I28" s="12" t="n">
        <v>73</v>
      </c>
      <c r="J28" s="18" t="n">
        <f aca="false">D28/E28</f>
        <v>46.1798839458414</v>
      </c>
      <c r="K28" s="19" t="n">
        <f aca="false">(D28-C28)/C28</f>
        <v>-0.0187011919441019</v>
      </c>
      <c r="L28" s="20" t="n">
        <f aca="false">F28/D28</f>
        <v>0.00678534031413613</v>
      </c>
      <c r="M28" s="21" t="str">
        <f aca="false">IF(OR(G28&lt;0.9,K28&lt;-0.05),"Red",IF(OR(G28&lt;0.95,K28&lt;-0.02),"Amber","Green"))</f>
        <v>Amber</v>
      </c>
    </row>
    <row r="29" customFormat="false" ht="15" hidden="false" customHeight="false" outlineLevel="0" collapsed="false">
      <c r="B29" s="16" t="n">
        <v>46155</v>
      </c>
      <c r="C29" s="11" t="n">
        <v>20260</v>
      </c>
      <c r="D29" s="11" t="n">
        <v>18630</v>
      </c>
      <c r="E29" s="11" t="n">
        <v>574</v>
      </c>
      <c r="F29" s="11" t="n">
        <v>42</v>
      </c>
      <c r="G29" s="17" t="n">
        <v>0.924</v>
      </c>
      <c r="H29" s="12" t="n">
        <v>59</v>
      </c>
      <c r="I29" s="12" t="n">
        <v>62</v>
      </c>
      <c r="J29" s="18" t="n">
        <f aca="false">D29/E29</f>
        <v>32.4564459930314</v>
      </c>
      <c r="K29" s="19" t="n">
        <f aca="false">(D29-C29)/C29</f>
        <v>-0.0804540967423495</v>
      </c>
      <c r="L29" s="20" t="n">
        <f aca="false">F29/D29</f>
        <v>0.00225442834138486</v>
      </c>
      <c r="M29" s="21" t="str">
        <f aca="false">IF(OR(G29&lt;0.9,K29&lt;-0.05),"Red",IF(OR(G29&lt;0.95,K29&lt;-0.02),"Amber","Green"))</f>
        <v>Red</v>
      </c>
    </row>
    <row r="30" customFormat="false" ht="15" hidden="false" customHeight="false" outlineLevel="0" collapsed="false">
      <c r="B30" s="16" t="n">
        <v>46156</v>
      </c>
      <c r="C30" s="11" t="n">
        <v>18192</v>
      </c>
      <c r="D30" s="11" t="n">
        <v>17075</v>
      </c>
      <c r="E30" s="11" t="n">
        <v>539</v>
      </c>
      <c r="F30" s="11" t="n">
        <v>204</v>
      </c>
      <c r="G30" s="17" t="n">
        <v>0.9087</v>
      </c>
      <c r="H30" s="12" t="n">
        <v>73</v>
      </c>
      <c r="I30" s="12" t="n">
        <v>71</v>
      </c>
      <c r="J30" s="18" t="n">
        <f aca="false">D30/E30</f>
        <v>31.6790352504638</v>
      </c>
      <c r="K30" s="19" t="n">
        <f aca="false">(D30-C30)/C30</f>
        <v>-0.0614006156552331</v>
      </c>
      <c r="L30" s="20" t="n">
        <f aca="false">F30/D30</f>
        <v>0.0119472913616398</v>
      </c>
      <c r="M30" s="21" t="str">
        <f aca="false">IF(OR(G30&lt;0.9,K30&lt;-0.05),"Red",IF(OR(G30&lt;0.95,K30&lt;-0.02),"Amber","Green"))</f>
        <v>Red</v>
      </c>
    </row>
    <row r="31" customFormat="false" ht="15" hidden="false" customHeight="false" outlineLevel="0" collapsed="false">
      <c r="B31" s="16" t="n">
        <v>46157</v>
      </c>
      <c r="C31" s="11" t="n">
        <v>20106</v>
      </c>
      <c r="D31" s="11" t="n">
        <v>20704</v>
      </c>
      <c r="E31" s="11" t="n">
        <v>501</v>
      </c>
      <c r="F31" s="11" t="n">
        <v>75</v>
      </c>
      <c r="G31" s="17" t="n">
        <v>0.8954</v>
      </c>
      <c r="H31" s="12" t="n">
        <v>58</v>
      </c>
      <c r="I31" s="12" t="n">
        <v>56</v>
      </c>
      <c r="J31" s="18" t="n">
        <f aca="false">D31/E31</f>
        <v>41.3253493013972</v>
      </c>
      <c r="K31" s="19" t="n">
        <f aca="false">(D31-C31)/C31</f>
        <v>0.0297423654630459</v>
      </c>
      <c r="L31" s="20" t="n">
        <f aca="false">F31/D31</f>
        <v>0.00362248840803709</v>
      </c>
      <c r="M31" s="21" t="str">
        <f aca="false">IF(OR(G31&lt;0.9,K31&lt;-0.05),"Red",IF(OR(G31&lt;0.95,K31&lt;-0.02),"Amber","Green"))</f>
        <v>Red</v>
      </c>
    </row>
    <row r="32" customFormat="false" ht="15" hidden="false" customHeight="false" outlineLevel="0" collapsed="false">
      <c r="B32" s="16" t="n">
        <v>46158</v>
      </c>
      <c r="C32" s="11" t="n">
        <v>18769</v>
      </c>
      <c r="D32" s="11" t="n">
        <v>17333</v>
      </c>
      <c r="E32" s="11" t="n">
        <v>425</v>
      </c>
      <c r="F32" s="11" t="n">
        <v>154</v>
      </c>
      <c r="G32" s="17" t="n">
        <v>0.9704</v>
      </c>
      <c r="H32" s="12" t="n">
        <v>57</v>
      </c>
      <c r="I32" s="12" t="n">
        <v>62</v>
      </c>
      <c r="J32" s="18" t="n">
        <f aca="false">D32/E32</f>
        <v>40.7835294117647</v>
      </c>
      <c r="K32" s="19" t="n">
        <f aca="false">(D32-C32)/C32</f>
        <v>-0.0765091374074271</v>
      </c>
      <c r="L32" s="20" t="n">
        <f aca="false">F32/D32</f>
        <v>0.00888478624588934</v>
      </c>
      <c r="M32" s="21" t="str">
        <f aca="false">IF(OR(G32&lt;0.9,K32&lt;-0.05),"Red",IF(OR(G32&lt;0.95,K32&lt;-0.02),"Amber","Green"))</f>
        <v>Red</v>
      </c>
    </row>
    <row r="33" customFormat="false" ht="15" hidden="false" customHeight="false" outlineLevel="0" collapsed="false">
      <c r="B33" s="16" t="n">
        <v>46159</v>
      </c>
      <c r="C33" s="11" t="n">
        <v>18975</v>
      </c>
      <c r="D33" s="11" t="n">
        <v>19459</v>
      </c>
      <c r="E33" s="11" t="n">
        <v>476</v>
      </c>
      <c r="F33" s="11" t="n">
        <v>117</v>
      </c>
      <c r="G33" s="17" t="n">
        <v>0.9419</v>
      </c>
      <c r="H33" s="12" t="n">
        <v>65</v>
      </c>
      <c r="I33" s="12" t="n">
        <v>63</v>
      </c>
      <c r="J33" s="18" t="n">
        <f aca="false">D33/E33</f>
        <v>40.8802521008403</v>
      </c>
      <c r="K33" s="19" t="n">
        <f aca="false">(D33-C33)/C33</f>
        <v>0.0255072463768116</v>
      </c>
      <c r="L33" s="20" t="n">
        <f aca="false">F33/D33</f>
        <v>0.00601264196515751</v>
      </c>
      <c r="M33" s="21" t="str">
        <f aca="false">IF(OR(G33&lt;0.9,K33&lt;-0.05),"Red",IF(OR(G33&lt;0.95,K33&lt;-0.02),"Amber","Green"))</f>
        <v>Amber</v>
      </c>
    </row>
    <row r="34" customFormat="false" ht="15" hidden="false" customHeight="false" outlineLevel="0" collapsed="false">
      <c r="B34" s="16" t="n">
        <v>46160</v>
      </c>
      <c r="C34" s="11" t="n">
        <v>22045</v>
      </c>
      <c r="D34" s="11" t="n">
        <v>23482</v>
      </c>
      <c r="E34" s="11" t="n">
        <v>464</v>
      </c>
      <c r="F34" s="11" t="n">
        <v>82</v>
      </c>
      <c r="G34" s="17" t="n">
        <v>0.9009</v>
      </c>
      <c r="H34" s="12" t="n">
        <v>67</v>
      </c>
      <c r="I34" s="12" t="n">
        <v>62</v>
      </c>
      <c r="J34" s="18" t="n">
        <f aca="false">D34/E34</f>
        <v>50.6077586206897</v>
      </c>
      <c r="K34" s="19" t="n">
        <f aca="false">(D34-C34)/C34</f>
        <v>0.0651848491721479</v>
      </c>
      <c r="L34" s="20" t="n">
        <f aca="false">F34/D34</f>
        <v>0.00349203645345371</v>
      </c>
      <c r="M34" s="21" t="str">
        <f aca="false">IF(OR(G34&lt;0.9,K34&lt;-0.05),"Red",IF(OR(G34&lt;0.95,K34&lt;-0.02),"Amber","Green"))</f>
        <v>Amber</v>
      </c>
    </row>
    <row r="35" customFormat="false" ht="15" hidden="false" customHeight="false" outlineLevel="0" collapsed="false">
      <c r="B35" s="16" t="n">
        <v>46161</v>
      </c>
      <c r="C35" s="11" t="n">
        <v>23816</v>
      </c>
      <c r="D35" s="11" t="n">
        <v>24664</v>
      </c>
      <c r="E35" s="11" t="n">
        <v>530</v>
      </c>
      <c r="F35" s="11" t="n">
        <v>51</v>
      </c>
      <c r="G35" s="17" t="n">
        <v>0.9494</v>
      </c>
      <c r="H35" s="12" t="n">
        <v>71</v>
      </c>
      <c r="I35" s="12" t="n">
        <v>76</v>
      </c>
      <c r="J35" s="18" t="n">
        <f aca="false">D35/E35</f>
        <v>46.5358490566038</v>
      </c>
      <c r="K35" s="19" t="n">
        <f aca="false">(D35-C35)/C35</f>
        <v>0.0356063150822976</v>
      </c>
      <c r="L35" s="20" t="n">
        <f aca="false">F35/D35</f>
        <v>0.00206779111255271</v>
      </c>
      <c r="M35" s="21" t="str">
        <f aca="false">IF(OR(G35&lt;0.9,K35&lt;-0.05),"Red",IF(OR(G35&lt;0.95,K35&lt;-0.02),"Amber","Green"))</f>
        <v>Amber</v>
      </c>
    </row>
    <row r="36" customFormat="false" ht="15" hidden="false" customHeight="false" outlineLevel="0" collapsed="false">
      <c r="B36" s="16" t="n">
        <v>46162</v>
      </c>
      <c r="C36" s="11" t="n">
        <v>24107</v>
      </c>
      <c r="D36" s="11" t="n">
        <v>25078</v>
      </c>
      <c r="E36" s="11" t="n">
        <v>431</v>
      </c>
      <c r="F36" s="11" t="n">
        <v>42</v>
      </c>
      <c r="G36" s="17" t="n">
        <v>0.9246</v>
      </c>
      <c r="H36" s="12" t="n">
        <v>57</v>
      </c>
      <c r="I36" s="12" t="n">
        <v>55</v>
      </c>
      <c r="J36" s="18" t="n">
        <f aca="false">D36/E36</f>
        <v>58.1856148491879</v>
      </c>
      <c r="K36" s="19" t="n">
        <f aca="false">(D36-C36)/C36</f>
        <v>0.0402787572074501</v>
      </c>
      <c r="L36" s="20" t="n">
        <f aca="false">F36/D36</f>
        <v>0.00167477470292687</v>
      </c>
      <c r="M36" s="21" t="str">
        <f aca="false">IF(OR(G36&lt;0.9,K36&lt;-0.05),"Red",IF(OR(G36&lt;0.95,K36&lt;-0.02),"Amber","Green"))</f>
        <v>Amber</v>
      </c>
    </row>
    <row r="37" customFormat="false" ht="15" hidden="false" customHeight="false" outlineLevel="0" collapsed="false">
      <c r="B37" s="16" t="n">
        <v>46163</v>
      </c>
      <c r="C37" s="11" t="n">
        <v>24258</v>
      </c>
      <c r="D37" s="11" t="n">
        <v>24380</v>
      </c>
      <c r="E37" s="11" t="n">
        <v>455</v>
      </c>
      <c r="F37" s="11" t="n">
        <v>99</v>
      </c>
      <c r="G37" s="17" t="n">
        <v>0.9091</v>
      </c>
      <c r="H37" s="12" t="n">
        <v>77</v>
      </c>
      <c r="I37" s="12" t="n">
        <v>78</v>
      </c>
      <c r="J37" s="18" t="n">
        <f aca="false">D37/E37</f>
        <v>53.5824175824176</v>
      </c>
      <c r="K37" s="19" t="n">
        <f aca="false">(D37-C37)/C37</f>
        <v>0.00502926869486355</v>
      </c>
      <c r="L37" s="20" t="n">
        <f aca="false">F37/D37</f>
        <v>0.00406070549630845</v>
      </c>
      <c r="M37" s="21" t="str">
        <f aca="false">IF(OR(G37&lt;0.9,K37&lt;-0.05),"Red",IF(OR(G37&lt;0.95,K37&lt;-0.02),"Amber","Green"))</f>
        <v>Amber</v>
      </c>
    </row>
    <row r="38" customFormat="false" ht="15" hidden="false" customHeight="false" outlineLevel="0" collapsed="false">
      <c r="B38" s="16" t="n">
        <v>46164</v>
      </c>
      <c r="C38" s="11" t="n">
        <v>20569</v>
      </c>
      <c r="D38" s="11" t="n">
        <v>21423</v>
      </c>
      <c r="E38" s="11" t="n">
        <v>428</v>
      </c>
      <c r="F38" s="11" t="n">
        <v>139</v>
      </c>
      <c r="G38" s="17" t="n">
        <v>0.898</v>
      </c>
      <c r="H38" s="12" t="n">
        <v>78</v>
      </c>
      <c r="I38" s="12" t="n">
        <v>84</v>
      </c>
      <c r="J38" s="18" t="n">
        <f aca="false">D38/E38</f>
        <v>50.053738317757</v>
      </c>
      <c r="K38" s="19" t="n">
        <f aca="false">(D38-C38)/C38</f>
        <v>0.0415187904127571</v>
      </c>
      <c r="L38" s="20" t="n">
        <f aca="false">F38/D38</f>
        <v>0.00648835363861271</v>
      </c>
      <c r="M38" s="21" t="str">
        <f aca="false">IF(OR(G38&lt;0.9,K38&lt;-0.05),"Red",IF(OR(G38&lt;0.95,K38&lt;-0.02),"Amber","Green"))</f>
        <v>Red</v>
      </c>
    </row>
    <row r="39" customFormat="false" ht="15" hidden="false" customHeight="false" outlineLevel="0" collapsed="false">
      <c r="B39" s="16" t="n">
        <v>46165</v>
      </c>
      <c r="C39" s="11" t="n">
        <v>20416</v>
      </c>
      <c r="D39" s="11" t="n">
        <v>21564</v>
      </c>
      <c r="E39" s="11" t="n">
        <v>521</v>
      </c>
      <c r="F39" s="11" t="n">
        <v>180</v>
      </c>
      <c r="G39" s="17" t="n">
        <v>0.9364</v>
      </c>
      <c r="H39" s="12" t="n">
        <v>73</v>
      </c>
      <c r="I39" s="12" t="n">
        <v>66</v>
      </c>
      <c r="J39" s="18" t="n">
        <f aca="false">D39/E39</f>
        <v>41.3896353166987</v>
      </c>
      <c r="K39" s="19" t="n">
        <f aca="false">(D39-C39)/C39</f>
        <v>0.056230407523511</v>
      </c>
      <c r="L39" s="20" t="n">
        <f aca="false">F39/D39</f>
        <v>0.00834724540901503</v>
      </c>
      <c r="M39" s="21" t="str">
        <f aca="false">IF(OR(G39&lt;0.9,K39&lt;-0.05),"Red",IF(OR(G39&lt;0.95,K39&lt;-0.02),"Amber","Green"))</f>
        <v>Amber</v>
      </c>
    </row>
    <row r="40" customFormat="false" ht="15" hidden="false" customHeight="false" outlineLevel="0" collapsed="false">
      <c r="B40" s="16" t="n">
        <v>46166</v>
      </c>
      <c r="C40" s="11" t="n">
        <v>22468</v>
      </c>
      <c r="D40" s="11" t="n">
        <v>22730</v>
      </c>
      <c r="E40" s="11" t="n">
        <v>432</v>
      </c>
      <c r="F40" s="11" t="n">
        <v>192</v>
      </c>
      <c r="G40" s="17" t="n">
        <v>0.9645</v>
      </c>
      <c r="H40" s="12" t="n">
        <v>71</v>
      </c>
      <c r="I40" s="12" t="n">
        <v>67</v>
      </c>
      <c r="J40" s="18" t="n">
        <f aca="false">D40/E40</f>
        <v>52.6157407407407</v>
      </c>
      <c r="K40" s="19" t="n">
        <f aca="false">(D40-C40)/C40</f>
        <v>0.0116610290190493</v>
      </c>
      <c r="L40" s="20" t="n">
        <f aca="false">F40/D40</f>
        <v>0.0084469863616366</v>
      </c>
      <c r="M40" s="21" t="str">
        <f aca="false">IF(OR(G40&lt;0.9,K40&lt;-0.05),"Red",IF(OR(G40&lt;0.95,K40&lt;-0.02),"Amber","Green"))</f>
        <v>Green</v>
      </c>
    </row>
    <row r="41" customFormat="false" ht="15" hidden="false" customHeight="false" outlineLevel="0" collapsed="false">
      <c r="B41" s="16" t="n">
        <v>46167</v>
      </c>
      <c r="C41" s="11" t="n">
        <v>20388</v>
      </c>
      <c r="D41" s="11" t="n">
        <v>21052</v>
      </c>
      <c r="E41" s="11" t="n">
        <v>545</v>
      </c>
      <c r="F41" s="11" t="n">
        <v>183</v>
      </c>
      <c r="G41" s="17" t="n">
        <v>0.9018</v>
      </c>
      <c r="H41" s="12" t="n">
        <v>74</v>
      </c>
      <c r="I41" s="12" t="n">
        <v>79</v>
      </c>
      <c r="J41" s="18" t="n">
        <f aca="false">D41/E41</f>
        <v>38.6275229357798</v>
      </c>
      <c r="K41" s="19" t="n">
        <f aca="false">(D41-C41)/C41</f>
        <v>0.0325681773592309</v>
      </c>
      <c r="L41" s="20" t="n">
        <f aca="false">F41/D41</f>
        <v>0.00869276078282348</v>
      </c>
      <c r="M41" s="21" t="str">
        <f aca="false">IF(OR(G41&lt;0.9,K41&lt;-0.05),"Red",IF(OR(G41&lt;0.95,K41&lt;-0.02),"Amber","Green"))</f>
        <v>Amber</v>
      </c>
    </row>
    <row r="42" customFormat="false" ht="15" hidden="false" customHeight="false" outlineLevel="0" collapsed="false">
      <c r="B42" s="16" t="n">
        <v>46168</v>
      </c>
      <c r="C42" s="11" t="n">
        <v>20668</v>
      </c>
      <c r="D42" s="11" t="n">
        <v>19292</v>
      </c>
      <c r="E42" s="11" t="n">
        <v>491</v>
      </c>
      <c r="F42" s="11" t="n">
        <v>121</v>
      </c>
      <c r="G42" s="17" t="n">
        <v>0.9557</v>
      </c>
      <c r="H42" s="12" t="n">
        <v>68</v>
      </c>
      <c r="I42" s="12" t="n">
        <v>61</v>
      </c>
      <c r="J42" s="18" t="n">
        <f aca="false">D42/E42</f>
        <v>39.2912423625255</v>
      </c>
      <c r="K42" s="19" t="n">
        <f aca="false">(D42-C42)/C42</f>
        <v>-0.0665763499129088</v>
      </c>
      <c r="L42" s="20" t="n">
        <f aca="false">F42/D42</f>
        <v>0.00627202985693552</v>
      </c>
      <c r="M42" s="21" t="str">
        <f aca="false">IF(OR(G42&lt;0.9,K42&lt;-0.05),"Red",IF(OR(G42&lt;0.95,K42&lt;-0.02),"Amber","Green"))</f>
        <v>Red</v>
      </c>
    </row>
    <row r="43" customFormat="false" ht="15" hidden="false" customHeight="false" outlineLevel="0" collapsed="false">
      <c r="B43" s="16" t="n">
        <v>46169</v>
      </c>
      <c r="C43" s="11" t="n">
        <v>25110</v>
      </c>
      <c r="D43" s="11" t="n">
        <v>23221</v>
      </c>
      <c r="E43" s="11" t="n">
        <v>550</v>
      </c>
      <c r="F43" s="11" t="n">
        <v>200</v>
      </c>
      <c r="G43" s="17" t="n">
        <v>0.9736</v>
      </c>
      <c r="H43" s="12" t="n">
        <v>79</v>
      </c>
      <c r="I43" s="12" t="n">
        <v>78</v>
      </c>
      <c r="J43" s="18" t="n">
        <f aca="false">D43/E43</f>
        <v>42.22</v>
      </c>
      <c r="K43" s="19" t="n">
        <f aca="false">(D43-C43)/C43</f>
        <v>-0.0752289924332935</v>
      </c>
      <c r="L43" s="20" t="n">
        <f aca="false">F43/D43</f>
        <v>0.00861289350157185</v>
      </c>
      <c r="M43" s="21" t="str">
        <f aca="false">IF(OR(G43&lt;0.9,K43&lt;-0.05),"Red",IF(OR(G43&lt;0.95,K43&lt;-0.02),"Amber","Green"))</f>
        <v>Red</v>
      </c>
    </row>
    <row r="44" customFormat="false" ht="15" hidden="false" customHeight="false" outlineLevel="0" collapsed="false">
      <c r="B44" s="16" t="n">
        <v>46170</v>
      </c>
      <c r="C44" s="11" t="n">
        <v>22137</v>
      </c>
      <c r="D44" s="11" t="n">
        <v>22482</v>
      </c>
      <c r="E44" s="11" t="n">
        <v>609</v>
      </c>
      <c r="F44" s="11" t="n">
        <v>214</v>
      </c>
      <c r="G44" s="17" t="n">
        <v>0.9541</v>
      </c>
      <c r="H44" s="12" t="n">
        <v>69</v>
      </c>
      <c r="I44" s="12" t="n">
        <v>68</v>
      </c>
      <c r="J44" s="18" t="n">
        <f aca="false">D44/E44</f>
        <v>36.9162561576355</v>
      </c>
      <c r="K44" s="19" t="n">
        <f aca="false">(D44-C44)/C44</f>
        <v>0.0155847675836834</v>
      </c>
      <c r="L44" s="20" t="n">
        <f aca="false">F44/D44</f>
        <v>0.0095187260919847</v>
      </c>
      <c r="M44" s="21" t="str">
        <f aca="false">IF(OR(G44&lt;0.9,K44&lt;-0.05),"Red",IF(OR(G44&lt;0.95,K44&lt;-0.02),"Amber","Green"))</f>
        <v>Green</v>
      </c>
    </row>
    <row r="45" customFormat="false" ht="15" hidden="false" customHeight="false" outlineLevel="0" collapsed="false">
      <c r="B45" s="16" t="n">
        <v>46171</v>
      </c>
      <c r="C45" s="11" t="n">
        <v>22238</v>
      </c>
      <c r="D45" s="11" t="n">
        <v>22139</v>
      </c>
      <c r="E45" s="11" t="n">
        <v>498</v>
      </c>
      <c r="F45" s="11" t="n">
        <v>142</v>
      </c>
      <c r="G45" s="17" t="n">
        <v>0.8881</v>
      </c>
      <c r="H45" s="12" t="n">
        <v>55</v>
      </c>
      <c r="I45" s="12" t="n">
        <v>47</v>
      </c>
      <c r="J45" s="18" t="n">
        <f aca="false">D45/E45</f>
        <v>44.4558232931727</v>
      </c>
      <c r="K45" s="19" t="n">
        <f aca="false">(D45-C45)/C45</f>
        <v>-0.00445183919417214</v>
      </c>
      <c r="L45" s="20" t="n">
        <f aca="false">F45/D45</f>
        <v>0.00641402050679796</v>
      </c>
      <c r="M45" s="21" t="str">
        <f aca="false">IF(OR(G45&lt;0.9,K45&lt;-0.05),"Red",IF(OR(G45&lt;0.95,K45&lt;-0.02),"Amber","Green"))</f>
        <v>Red</v>
      </c>
    </row>
    <row r="46" customFormat="false" ht="15" hidden="false" customHeight="false" outlineLevel="0" collapsed="false">
      <c r="B46" s="16" t="n">
        <v>46172</v>
      </c>
      <c r="C46" s="11" t="n">
        <v>23419</v>
      </c>
      <c r="D46" s="11" t="n">
        <v>22996</v>
      </c>
      <c r="E46" s="11" t="n">
        <v>428</v>
      </c>
      <c r="F46" s="11" t="n">
        <v>110</v>
      </c>
      <c r="G46" s="17" t="n">
        <v>0.961</v>
      </c>
      <c r="H46" s="12" t="n">
        <v>67</v>
      </c>
      <c r="I46" s="12" t="n">
        <v>70</v>
      </c>
      <c r="J46" s="18" t="n">
        <f aca="false">D46/E46</f>
        <v>53.7289719626168</v>
      </c>
      <c r="K46" s="19" t="n">
        <f aca="false">(D46-C46)/C46</f>
        <v>-0.0180622571416371</v>
      </c>
      <c r="L46" s="20" t="n">
        <f aca="false">F46/D46</f>
        <v>0.00478344059836493</v>
      </c>
      <c r="M46" s="21" t="str">
        <f aca="false">IF(OR(G46&lt;0.9,K46&lt;-0.05),"Red",IF(OR(G46&lt;0.95,K46&lt;-0.02),"Amber","Green"))</f>
        <v>Green</v>
      </c>
    </row>
    <row r="47" customFormat="false" ht="15" hidden="false" customHeight="false" outlineLevel="0" collapsed="false">
      <c r="B47" s="16" t="n">
        <v>46173</v>
      </c>
      <c r="C47" s="11" t="n">
        <v>21498</v>
      </c>
      <c r="D47" s="11" t="n">
        <v>21165</v>
      </c>
      <c r="E47" s="11" t="n">
        <v>580</v>
      </c>
      <c r="F47" s="11" t="n">
        <v>142</v>
      </c>
      <c r="G47" s="17" t="n">
        <v>0.9243</v>
      </c>
      <c r="H47" s="12" t="n">
        <v>70</v>
      </c>
      <c r="I47" s="12" t="n">
        <v>65</v>
      </c>
      <c r="J47" s="18" t="n">
        <f aca="false">D47/E47</f>
        <v>36.4913793103448</v>
      </c>
      <c r="K47" s="19" t="n">
        <f aca="false">(D47-C47)/C47</f>
        <v>-0.015489813005861</v>
      </c>
      <c r="L47" s="20" t="n">
        <f aca="false">F47/D47</f>
        <v>0.00670918969997638</v>
      </c>
      <c r="M47" s="21" t="str">
        <f aca="false">IF(OR(G47&lt;0.9,K47&lt;-0.05),"Red",IF(OR(G47&lt;0.95,K47&lt;-0.02),"Amber","Green"))</f>
        <v>Amber</v>
      </c>
    </row>
    <row r="48" customFormat="false" ht="15" hidden="false" customHeight="false" outlineLevel="0" collapsed="false">
      <c r="B48" s="16" t="n">
        <v>46174</v>
      </c>
      <c r="C48" s="11" t="n">
        <v>23175</v>
      </c>
      <c r="D48" s="11" t="n">
        <v>24721</v>
      </c>
      <c r="E48" s="11" t="n">
        <v>613</v>
      </c>
      <c r="F48" s="11" t="n">
        <v>61</v>
      </c>
      <c r="G48" s="17" t="n">
        <v>0.8843</v>
      </c>
      <c r="H48" s="12" t="n">
        <v>60</v>
      </c>
      <c r="I48" s="12" t="n">
        <v>59</v>
      </c>
      <c r="J48" s="18" t="n">
        <f aca="false">D48/E48</f>
        <v>40.3278955954323</v>
      </c>
      <c r="K48" s="19" t="n">
        <f aca="false">(D48-C48)/C48</f>
        <v>0.0667098166127292</v>
      </c>
      <c r="L48" s="20" t="n">
        <f aca="false">F48/D48</f>
        <v>0.00246753772096598</v>
      </c>
      <c r="M48" s="21" t="str">
        <f aca="false">IF(OR(G48&lt;0.9,K48&lt;-0.05),"Red",IF(OR(G48&lt;0.95,K48&lt;-0.02),"Amber","Green"))</f>
        <v>Red</v>
      </c>
    </row>
    <row r="49" customFormat="false" ht="15" hidden="false" customHeight="false" outlineLevel="0" collapsed="false">
      <c r="B49" s="16" t="n">
        <v>46175</v>
      </c>
      <c r="C49" s="11" t="n">
        <v>21055</v>
      </c>
      <c r="D49" s="11" t="n">
        <v>21792</v>
      </c>
      <c r="E49" s="11" t="n">
        <v>541</v>
      </c>
      <c r="F49" s="11" t="n">
        <v>95</v>
      </c>
      <c r="G49" s="17" t="n">
        <v>0.9696</v>
      </c>
      <c r="H49" s="12" t="n">
        <v>75</v>
      </c>
      <c r="I49" s="12" t="n">
        <v>77</v>
      </c>
      <c r="J49" s="18" t="n">
        <f aca="false">D49/E49</f>
        <v>40.2809611829945</v>
      </c>
      <c r="K49" s="19" t="n">
        <f aca="false">(D49-C49)/C49</f>
        <v>0.0350035620992638</v>
      </c>
      <c r="L49" s="20" t="n">
        <f aca="false">F49/D49</f>
        <v>0.00435939794419971</v>
      </c>
      <c r="M49" s="21" t="str">
        <f aca="false">IF(OR(G49&lt;0.9,K49&lt;-0.05),"Red",IF(OR(G49&lt;0.95,K49&lt;-0.02),"Amber","Green"))</f>
        <v>Green</v>
      </c>
    </row>
    <row r="50" customFormat="false" ht="15" hidden="false" customHeight="false" outlineLevel="0" collapsed="false">
      <c r="B50" s="16" t="n">
        <v>46176</v>
      </c>
      <c r="C50" s="11" t="n">
        <v>24213</v>
      </c>
      <c r="D50" s="11" t="n">
        <v>24550</v>
      </c>
      <c r="E50" s="11" t="n">
        <v>554</v>
      </c>
      <c r="F50" s="11" t="n">
        <v>195</v>
      </c>
      <c r="G50" s="17" t="n">
        <v>0.9604</v>
      </c>
      <c r="H50" s="12" t="n">
        <v>76</v>
      </c>
      <c r="I50" s="12" t="n">
        <v>72</v>
      </c>
      <c r="J50" s="18" t="n">
        <f aca="false">D50/E50</f>
        <v>44.3140794223827</v>
      </c>
      <c r="K50" s="19" t="n">
        <f aca="false">(D50-C50)/C50</f>
        <v>0.0139181431462438</v>
      </c>
      <c r="L50" s="20" t="n">
        <f aca="false">F50/D50</f>
        <v>0.00794297352342159</v>
      </c>
      <c r="M50" s="21" t="str">
        <f aca="false">IF(OR(G50&lt;0.9,K50&lt;-0.05),"Red",IF(OR(G50&lt;0.95,K50&lt;-0.02),"Amber","Green"))</f>
        <v>Green</v>
      </c>
    </row>
    <row r="51" customFormat="false" ht="15" hidden="false" customHeight="false" outlineLevel="0" collapsed="false">
      <c r="B51" s="16" t="n">
        <v>46177</v>
      </c>
      <c r="C51" s="11" t="n">
        <v>20009</v>
      </c>
      <c r="D51" s="11" t="n">
        <v>19779</v>
      </c>
      <c r="E51" s="11" t="n">
        <v>603</v>
      </c>
      <c r="F51" s="11" t="n">
        <v>138</v>
      </c>
      <c r="G51" s="17" t="n">
        <v>0.9152</v>
      </c>
      <c r="H51" s="12" t="n">
        <v>67</v>
      </c>
      <c r="I51" s="12" t="n">
        <v>72</v>
      </c>
      <c r="J51" s="18" t="n">
        <f aca="false">D51/E51</f>
        <v>32.8009950248756</v>
      </c>
      <c r="K51" s="19" t="n">
        <f aca="false">(D51-C51)/C51</f>
        <v>-0.0114948273277025</v>
      </c>
      <c r="L51" s="20" t="n">
        <f aca="false">F51/D51</f>
        <v>0.00697709692097679</v>
      </c>
      <c r="M51" s="21" t="str">
        <f aca="false">IF(OR(G51&lt;0.9,K51&lt;-0.05),"Red",IF(OR(G51&lt;0.95,K51&lt;-0.02),"Amber","Green"))</f>
        <v>Amber</v>
      </c>
    </row>
    <row r="52" customFormat="false" ht="15" hidden="false" customHeight="false" outlineLevel="0" collapsed="false">
      <c r="B52" s="16" t="n">
        <v>46178</v>
      </c>
      <c r="C52" s="11" t="n">
        <v>22294</v>
      </c>
      <c r="D52" s="11" t="n">
        <v>24041</v>
      </c>
      <c r="E52" s="11" t="n">
        <v>562</v>
      </c>
      <c r="F52" s="11" t="n">
        <v>41</v>
      </c>
      <c r="G52" s="17" t="n">
        <v>0.8986</v>
      </c>
      <c r="H52" s="12" t="n">
        <v>61</v>
      </c>
      <c r="I52" s="12" t="n">
        <v>57</v>
      </c>
      <c r="J52" s="18" t="n">
        <f aca="false">D52/E52</f>
        <v>42.7775800711744</v>
      </c>
      <c r="K52" s="19" t="n">
        <f aca="false">(D52-C52)/C52</f>
        <v>0.0783618910917736</v>
      </c>
      <c r="L52" s="20" t="n">
        <f aca="false">F52/D52</f>
        <v>0.00170541990765775</v>
      </c>
      <c r="M52" s="21" t="str">
        <f aca="false">IF(OR(G52&lt;0.9,K52&lt;-0.05),"Red",IF(OR(G52&lt;0.95,K52&lt;-0.02),"Amber","Green"))</f>
        <v>Red</v>
      </c>
    </row>
    <row r="53" customFormat="false" ht="15" hidden="false" customHeight="false" outlineLevel="0" collapsed="false">
      <c r="B53" s="16" t="n">
        <v>46179</v>
      </c>
      <c r="C53" s="11" t="n">
        <v>25173</v>
      </c>
      <c r="D53" s="11" t="n">
        <v>24575</v>
      </c>
      <c r="E53" s="11" t="n">
        <v>563</v>
      </c>
      <c r="F53" s="11" t="n">
        <v>63</v>
      </c>
      <c r="G53" s="17" t="n">
        <v>0.9436</v>
      </c>
      <c r="H53" s="12" t="n">
        <v>57</v>
      </c>
      <c r="I53" s="12" t="n">
        <v>57</v>
      </c>
      <c r="J53" s="18" t="n">
        <f aca="false">D53/E53</f>
        <v>43.6500888099467</v>
      </c>
      <c r="K53" s="19" t="n">
        <f aca="false">(D53-C53)/C53</f>
        <v>-0.0237556111706988</v>
      </c>
      <c r="L53" s="20" t="n">
        <f aca="false">F53/D53</f>
        <v>0.00256358087487284</v>
      </c>
      <c r="M53" s="21" t="str">
        <f aca="false">IF(OR(G53&lt;0.9,K53&lt;-0.05),"Red",IF(OR(G53&lt;0.95,K53&lt;-0.02),"Amber","Green"))</f>
        <v>Amber</v>
      </c>
    </row>
    <row r="54" customFormat="false" ht="15" hidden="false" customHeight="false" outlineLevel="0" collapsed="false">
      <c r="B54" s="16" t="n">
        <v>46180</v>
      </c>
      <c r="C54" s="11" t="n">
        <v>20478</v>
      </c>
      <c r="D54" s="11" t="n">
        <v>20817</v>
      </c>
      <c r="E54" s="11" t="n">
        <v>609</v>
      </c>
      <c r="F54" s="11" t="n">
        <v>158</v>
      </c>
      <c r="G54" s="17" t="n">
        <v>0.993</v>
      </c>
      <c r="H54" s="12" t="n">
        <v>60</v>
      </c>
      <c r="I54" s="12" t="n">
        <v>63</v>
      </c>
      <c r="J54" s="18" t="n">
        <f aca="false">D54/E54</f>
        <v>34.1822660098522</v>
      </c>
      <c r="K54" s="19" t="n">
        <f aca="false">(D54-C54)/C54</f>
        <v>0.0165543510108409</v>
      </c>
      <c r="L54" s="20" t="n">
        <f aca="false">F54/D54</f>
        <v>0.00758995052120863</v>
      </c>
      <c r="M54" s="21" t="str">
        <f aca="false">IF(OR(G54&lt;0.9,K54&lt;-0.05),"Red",IF(OR(G54&lt;0.95,K54&lt;-0.02),"Amber","Green"))</f>
        <v>Green</v>
      </c>
    </row>
    <row r="55" customFormat="false" ht="15" hidden="false" customHeight="false" outlineLevel="0" collapsed="false">
      <c r="B55" s="16" t="n">
        <v>46181</v>
      </c>
      <c r="C55" s="11" t="n">
        <v>21549</v>
      </c>
      <c r="D55" s="11" t="n">
        <v>20192</v>
      </c>
      <c r="E55" s="11" t="n">
        <v>556</v>
      </c>
      <c r="F55" s="11" t="n">
        <v>135</v>
      </c>
      <c r="G55" s="17" t="n">
        <v>0.9538</v>
      </c>
      <c r="H55" s="12" t="n">
        <v>76</v>
      </c>
      <c r="I55" s="12" t="n">
        <v>71</v>
      </c>
      <c r="J55" s="18" t="n">
        <f aca="false">D55/E55</f>
        <v>36.3165467625899</v>
      </c>
      <c r="K55" s="19" t="n">
        <f aca="false">(D55-C55)/C55</f>
        <v>-0.0629727597568333</v>
      </c>
      <c r="L55" s="20" t="n">
        <f aca="false">F55/D55</f>
        <v>0.00668581616481775</v>
      </c>
      <c r="M55" s="21" t="str">
        <f aca="false">IF(OR(G55&lt;0.9,K55&lt;-0.05),"Red",IF(OR(G55&lt;0.95,K55&lt;-0.02),"Amber","Green"))</f>
        <v>Red</v>
      </c>
    </row>
    <row r="56" customFormat="false" ht="15" hidden="false" customHeight="false" outlineLevel="0" collapsed="false">
      <c r="B56" s="16" t="n">
        <v>46182</v>
      </c>
      <c r="C56" s="11" t="n">
        <v>20137</v>
      </c>
      <c r="D56" s="11" t="n">
        <v>18272</v>
      </c>
      <c r="E56" s="11" t="n">
        <v>610</v>
      </c>
      <c r="F56" s="11" t="n">
        <v>122</v>
      </c>
      <c r="G56" s="17" t="n">
        <v>0.9392</v>
      </c>
      <c r="H56" s="12" t="n">
        <v>59</v>
      </c>
      <c r="I56" s="12" t="n">
        <v>65</v>
      </c>
      <c r="J56" s="18" t="n">
        <f aca="false">D56/E56</f>
        <v>29.9540983606557</v>
      </c>
      <c r="K56" s="19" t="n">
        <f aca="false">(D56-C56)/C56</f>
        <v>-0.0926155832547053</v>
      </c>
      <c r="L56" s="20" t="n">
        <f aca="false">F56/D56</f>
        <v>0.0066768826619965</v>
      </c>
      <c r="M56" s="21" t="str">
        <f aca="false">IF(OR(G56&lt;0.9,K56&lt;-0.05),"Red",IF(OR(G56&lt;0.95,K56&lt;-0.02),"Amber","Green"))</f>
        <v>Red</v>
      </c>
    </row>
    <row r="57" customFormat="false" ht="15" hidden="false" customHeight="false" outlineLevel="0" collapsed="false">
      <c r="B57" s="16" t="n">
        <v>46183</v>
      </c>
      <c r="C57" s="11" t="n">
        <v>23580</v>
      </c>
      <c r="D57" s="11" t="n">
        <v>23456</v>
      </c>
      <c r="E57" s="11" t="n">
        <v>460</v>
      </c>
      <c r="F57" s="11" t="n">
        <v>193</v>
      </c>
      <c r="G57" s="17" t="n">
        <v>0.9591</v>
      </c>
      <c r="H57" s="12" t="n">
        <v>77</v>
      </c>
      <c r="I57" s="12" t="n">
        <v>75</v>
      </c>
      <c r="J57" s="18" t="n">
        <f aca="false">D57/E57</f>
        <v>50.9913043478261</v>
      </c>
      <c r="K57" s="19" t="n">
        <f aca="false">(D57-C57)/C57</f>
        <v>-0.00525869380831213</v>
      </c>
      <c r="L57" s="20" t="n">
        <f aca="false">F57/D57</f>
        <v>0.00822817189631651</v>
      </c>
      <c r="M57" s="21" t="str">
        <f aca="false">IF(OR(G57&lt;0.9,K57&lt;-0.05),"Red",IF(OR(G57&lt;0.95,K57&lt;-0.02),"Amber","Green"))</f>
        <v>Green</v>
      </c>
    </row>
    <row r="58" customFormat="false" ht="15" hidden="false" customHeight="false" outlineLevel="0" collapsed="false">
      <c r="B58" s="16" t="n">
        <v>46184</v>
      </c>
      <c r="C58" s="11" t="n">
        <v>19287</v>
      </c>
      <c r="D58" s="11" t="n">
        <v>20940</v>
      </c>
      <c r="E58" s="11" t="n">
        <v>499</v>
      </c>
      <c r="F58" s="11" t="n">
        <v>142</v>
      </c>
      <c r="G58" s="17" t="n">
        <v>0.9302</v>
      </c>
      <c r="H58" s="12" t="n">
        <v>74</v>
      </c>
      <c r="I58" s="12" t="n">
        <v>76</v>
      </c>
      <c r="J58" s="18" t="n">
        <f aca="false">D58/E58</f>
        <v>41.9639278557114</v>
      </c>
      <c r="K58" s="19" t="n">
        <f aca="false">(D58-C58)/C58</f>
        <v>0.0857053974179499</v>
      </c>
      <c r="L58" s="20" t="n">
        <f aca="false">F58/D58</f>
        <v>0.00678127984718243</v>
      </c>
      <c r="M58" s="21" t="str">
        <f aca="false">IF(OR(G58&lt;0.9,K58&lt;-0.05),"Red",IF(OR(G58&lt;0.95,K58&lt;-0.02),"Amber","Green"))</f>
        <v>Amber</v>
      </c>
    </row>
    <row r="59" customFormat="false" ht="15" hidden="false" customHeight="false" outlineLevel="0" collapsed="false">
      <c r="B59" s="16" t="n">
        <v>46185</v>
      </c>
      <c r="C59" s="11" t="n">
        <v>20298</v>
      </c>
      <c r="D59" s="11" t="n">
        <v>20840</v>
      </c>
      <c r="E59" s="11" t="n">
        <v>455</v>
      </c>
      <c r="F59" s="11" t="n">
        <v>138</v>
      </c>
      <c r="G59" s="17" t="n">
        <v>0.9515</v>
      </c>
      <c r="H59" s="12" t="n">
        <v>58</v>
      </c>
      <c r="I59" s="12" t="n">
        <v>53</v>
      </c>
      <c r="J59" s="18" t="n">
        <f aca="false">D59/E59</f>
        <v>45.8021978021978</v>
      </c>
      <c r="K59" s="19" t="n">
        <f aca="false">(D59-C59)/C59</f>
        <v>0.0267021381416888</v>
      </c>
      <c r="L59" s="20" t="n">
        <f aca="false">F59/D59</f>
        <v>0.00662188099808061</v>
      </c>
      <c r="M59" s="21" t="str">
        <f aca="false">IF(OR(G59&lt;0.9,K59&lt;-0.05),"Red",IF(OR(G59&lt;0.95,K59&lt;-0.02),"Amber","Green"))</f>
        <v>Green</v>
      </c>
    </row>
    <row r="60" customFormat="false" ht="15" hidden="false" customHeight="false" outlineLevel="0" collapsed="false">
      <c r="B60" s="16" t="n">
        <v>46186</v>
      </c>
      <c r="C60" s="11" t="n">
        <v>25988</v>
      </c>
      <c r="D60" s="11" t="n">
        <v>27723</v>
      </c>
      <c r="E60" s="11" t="n">
        <v>463</v>
      </c>
      <c r="F60" s="11" t="n">
        <v>129</v>
      </c>
      <c r="G60" s="17" t="n">
        <v>0.9732</v>
      </c>
      <c r="H60" s="12" t="n">
        <v>77</v>
      </c>
      <c r="I60" s="12" t="n">
        <v>74</v>
      </c>
      <c r="J60" s="18" t="n">
        <f aca="false">D60/E60</f>
        <v>59.8768898488121</v>
      </c>
      <c r="K60" s="19" t="n">
        <f aca="false">(D60-C60)/C60</f>
        <v>0.0667615822687394</v>
      </c>
      <c r="L60" s="20" t="n">
        <f aca="false">F60/D60</f>
        <v>0.00465317606319662</v>
      </c>
      <c r="M60" s="21" t="str">
        <f aca="false">IF(OR(G60&lt;0.9,K60&lt;-0.05),"Red",IF(OR(G60&lt;0.95,K60&lt;-0.02),"Amber","Green"))</f>
        <v>Green</v>
      </c>
    </row>
    <row r="61" customFormat="false" ht="15" hidden="false" customHeight="false" outlineLevel="0" collapsed="false">
      <c r="B61" s="16" t="n">
        <v>46187</v>
      </c>
      <c r="C61" s="11" t="n">
        <v>18155</v>
      </c>
      <c r="D61" s="11" t="n">
        <v>16261</v>
      </c>
      <c r="E61" s="11" t="n">
        <v>520</v>
      </c>
      <c r="F61" s="11" t="n">
        <v>50</v>
      </c>
      <c r="G61" s="17" t="n">
        <v>0.9258</v>
      </c>
      <c r="H61" s="12" t="n">
        <v>69</v>
      </c>
      <c r="I61" s="12" t="n">
        <v>72</v>
      </c>
      <c r="J61" s="18" t="n">
        <f aca="false">D61/E61</f>
        <v>31.2711538461538</v>
      </c>
      <c r="K61" s="19" t="n">
        <f aca="false">(D61-C61)/C61</f>
        <v>-0.104323877719636</v>
      </c>
      <c r="L61" s="20" t="n">
        <f aca="false">F61/D61</f>
        <v>0.00307484164565525</v>
      </c>
      <c r="M61" s="21" t="str">
        <f aca="false">IF(OR(G61&lt;0.9,K61&lt;-0.05),"Red",IF(OR(G61&lt;0.95,K61&lt;-0.02),"Amber","Green"))</f>
        <v>Red</v>
      </c>
    </row>
    <row r="62" customFormat="false" ht="15" hidden="false" customHeight="false" outlineLevel="0" collapsed="false">
      <c r="B62" s="16" t="n">
        <v>46188</v>
      </c>
      <c r="C62" s="11" t="n">
        <v>21683</v>
      </c>
      <c r="D62" s="11" t="n">
        <v>20466</v>
      </c>
      <c r="E62" s="11" t="n">
        <v>618</v>
      </c>
      <c r="F62" s="11" t="n">
        <v>179</v>
      </c>
      <c r="G62" s="17" t="n">
        <v>0.897</v>
      </c>
      <c r="H62" s="12" t="n">
        <v>64</v>
      </c>
      <c r="I62" s="12" t="n">
        <v>59</v>
      </c>
      <c r="J62" s="18" t="n">
        <f aca="false">D62/E62</f>
        <v>33.1165048543689</v>
      </c>
      <c r="K62" s="19" t="n">
        <f aca="false">(D62-C62)/C62</f>
        <v>-0.0561269197066827</v>
      </c>
      <c r="L62" s="20" t="n">
        <f aca="false">F62/D62</f>
        <v>0.00874621323170136</v>
      </c>
      <c r="M62" s="21" t="str">
        <f aca="false">IF(OR(G62&lt;0.9,K62&lt;-0.05),"Red",IF(OR(G62&lt;0.95,K62&lt;-0.02),"Amber","Green"))</f>
        <v>Red</v>
      </c>
    </row>
    <row r="63" customFormat="false" ht="15" hidden="false" customHeight="false" outlineLevel="0" collapsed="false">
      <c r="B63" s="16" t="n">
        <v>46189</v>
      </c>
      <c r="C63" s="11" t="n">
        <v>21720</v>
      </c>
      <c r="D63" s="11" t="n">
        <v>21037</v>
      </c>
      <c r="E63" s="11" t="n">
        <v>599</v>
      </c>
      <c r="F63" s="11" t="n">
        <v>134</v>
      </c>
      <c r="G63" s="17" t="n">
        <v>0.8991</v>
      </c>
      <c r="H63" s="12" t="n">
        <v>73</v>
      </c>
      <c r="I63" s="12" t="n">
        <v>77</v>
      </c>
      <c r="J63" s="18" t="n">
        <f aca="false">D63/E63</f>
        <v>35.1202003338898</v>
      </c>
      <c r="K63" s="19" t="n">
        <f aca="false">(D63-C63)/C63</f>
        <v>-0.0314456721915285</v>
      </c>
      <c r="L63" s="20" t="n">
        <f aca="false">F63/D63</f>
        <v>0.0063697295241717</v>
      </c>
      <c r="M63" s="21" t="str">
        <f aca="false">IF(OR(G63&lt;0.9,K63&lt;-0.05),"Red",IF(OR(G63&lt;0.95,K63&lt;-0.02),"Amber","Green"))</f>
        <v>Red</v>
      </c>
    </row>
    <row r="64" customFormat="false" ht="15" hidden="false" customHeight="false" outlineLevel="0" collapsed="false">
      <c r="B64" s="16" t="n">
        <v>46190</v>
      </c>
      <c r="C64" s="11" t="n">
        <v>25471</v>
      </c>
      <c r="D64" s="11" t="n">
        <v>26639</v>
      </c>
      <c r="E64" s="11" t="n">
        <v>506</v>
      </c>
      <c r="F64" s="11" t="n">
        <v>52</v>
      </c>
      <c r="G64" s="17" t="n">
        <v>0.9155</v>
      </c>
      <c r="H64" s="12" t="n">
        <v>68</v>
      </c>
      <c r="I64" s="12" t="n">
        <v>66</v>
      </c>
      <c r="J64" s="18" t="n">
        <f aca="false">D64/E64</f>
        <v>52.6462450592885</v>
      </c>
      <c r="K64" s="19" t="n">
        <f aca="false">(D64-C64)/C64</f>
        <v>0.0458560716108516</v>
      </c>
      <c r="L64" s="20" t="n">
        <f aca="false">F64/D64</f>
        <v>0.00195202522617215</v>
      </c>
      <c r="M64" s="21" t="str">
        <f aca="false">IF(OR(G64&lt;0.9,K64&lt;-0.05),"Red",IF(OR(G64&lt;0.95,K64&lt;-0.02),"Amber","Green"))</f>
        <v>Amber</v>
      </c>
    </row>
    <row r="65" customFormat="false" ht="15" hidden="false" customHeight="false" outlineLevel="0" collapsed="false">
      <c r="B65" s="16" t="n">
        <v>46191</v>
      </c>
      <c r="C65" s="11" t="n">
        <v>25229</v>
      </c>
      <c r="D65" s="11" t="n">
        <v>25289</v>
      </c>
      <c r="E65" s="11" t="n">
        <v>469</v>
      </c>
      <c r="F65" s="11" t="n">
        <v>187</v>
      </c>
      <c r="G65" s="17" t="n">
        <v>0.9723</v>
      </c>
      <c r="H65" s="12" t="n">
        <v>73</v>
      </c>
      <c r="I65" s="12" t="n">
        <v>79</v>
      </c>
      <c r="J65" s="18" t="n">
        <f aca="false">D65/E65</f>
        <v>53.9211087420043</v>
      </c>
      <c r="K65" s="19" t="n">
        <f aca="false">(D65-C65)/C65</f>
        <v>0.00237821554560228</v>
      </c>
      <c r="L65" s="20" t="n">
        <f aca="false">F65/D65</f>
        <v>0.00739451935624185</v>
      </c>
      <c r="M65" s="21" t="str">
        <f aca="false">IF(OR(G65&lt;0.9,K65&lt;-0.05),"Red",IF(OR(G65&lt;0.95,K65&lt;-0.02),"Amber","Green"))</f>
        <v>Green</v>
      </c>
    </row>
    <row r="66" customFormat="false" ht="15" hidden="false" customHeight="false" outlineLevel="0" collapsed="false">
      <c r="B66" s="16" t="n">
        <v>46192</v>
      </c>
      <c r="C66" s="11" t="n">
        <v>21831</v>
      </c>
      <c r="D66" s="11" t="n">
        <v>23250</v>
      </c>
      <c r="E66" s="11" t="n">
        <v>578</v>
      </c>
      <c r="F66" s="11" t="n">
        <v>208</v>
      </c>
      <c r="G66" s="17" t="n">
        <v>0.9469</v>
      </c>
      <c r="H66" s="12" t="n">
        <v>57</v>
      </c>
      <c r="I66" s="12" t="n">
        <v>55</v>
      </c>
      <c r="J66" s="18" t="n">
        <f aca="false">D66/E66</f>
        <v>40.2249134948097</v>
      </c>
      <c r="K66" s="19" t="n">
        <f aca="false">(D66-C66)/C66</f>
        <v>0.0649993129036691</v>
      </c>
      <c r="L66" s="20" t="n">
        <f aca="false">F66/D66</f>
        <v>0.00894623655913979</v>
      </c>
      <c r="M66" s="21" t="str">
        <f aca="false">IF(OR(G66&lt;0.9,K66&lt;-0.05),"Red",IF(OR(G66&lt;0.95,K66&lt;-0.02),"Amber","Green"))</f>
        <v>Amber</v>
      </c>
    </row>
    <row r="67" customFormat="false" ht="15" hidden="false" customHeight="false" outlineLevel="0" collapsed="false">
      <c r="B67" s="16" t="n">
        <v>46193</v>
      </c>
      <c r="C67" s="11" t="n">
        <v>25370</v>
      </c>
      <c r="D67" s="11" t="n">
        <v>26580</v>
      </c>
      <c r="E67" s="11" t="n">
        <v>569</v>
      </c>
      <c r="F67" s="11" t="n">
        <v>208</v>
      </c>
      <c r="G67" s="17" t="n">
        <v>0.9017</v>
      </c>
      <c r="H67" s="12" t="n">
        <v>56</v>
      </c>
      <c r="I67" s="12" t="n">
        <v>55</v>
      </c>
      <c r="J67" s="18" t="n">
        <f aca="false">D67/E67</f>
        <v>46.713532513181</v>
      </c>
      <c r="K67" s="19" t="n">
        <f aca="false">(D67-C67)/C67</f>
        <v>0.0476941269215609</v>
      </c>
      <c r="L67" s="20" t="n">
        <f aca="false">F67/D67</f>
        <v>0.00782543265613243</v>
      </c>
      <c r="M67" s="21" t="str">
        <f aca="false">IF(OR(G67&lt;0.9,K67&lt;-0.05),"Red",IF(OR(G67&lt;0.95,K67&lt;-0.02),"Amber","Green"))</f>
        <v>Amber</v>
      </c>
    </row>
    <row r="68" customFormat="false" ht="15" hidden="false" customHeight="false" outlineLevel="0" collapsed="false">
      <c r="B68" s="16" t="n">
        <v>46194</v>
      </c>
      <c r="C68" s="11" t="n">
        <v>24678</v>
      </c>
      <c r="D68" s="11" t="n">
        <v>24634</v>
      </c>
      <c r="E68" s="11" t="n">
        <v>541</v>
      </c>
      <c r="F68" s="11" t="n">
        <v>198</v>
      </c>
      <c r="G68" s="17" t="n">
        <v>0.9365</v>
      </c>
      <c r="H68" s="12" t="n">
        <v>76</v>
      </c>
      <c r="I68" s="12" t="n">
        <v>80</v>
      </c>
      <c r="J68" s="18" t="n">
        <f aca="false">D68/E68</f>
        <v>45.5341959334566</v>
      </c>
      <c r="K68" s="19" t="n">
        <f aca="false">(D68-C68)/C68</f>
        <v>-0.00178296458383986</v>
      </c>
      <c r="L68" s="20" t="n">
        <f aca="false">F68/D68</f>
        <v>0.00803767151091987</v>
      </c>
      <c r="M68" s="21" t="str">
        <f aca="false">IF(OR(G68&lt;0.9,K68&lt;-0.05),"Red",IF(OR(G68&lt;0.95,K68&lt;-0.02),"Amber","Green"))</f>
        <v>Amber</v>
      </c>
    </row>
    <row r="69" customFormat="false" ht="15" hidden="false" customHeight="false" outlineLevel="0" collapsed="false">
      <c r="B69" s="16" t="n">
        <v>46195</v>
      </c>
      <c r="C69" s="11" t="n">
        <v>23538</v>
      </c>
      <c r="D69" s="11" t="n">
        <v>22722</v>
      </c>
      <c r="E69" s="11" t="n">
        <v>451</v>
      </c>
      <c r="F69" s="11" t="n">
        <v>79</v>
      </c>
      <c r="G69" s="17" t="n">
        <v>0.9206</v>
      </c>
      <c r="H69" s="12" t="n">
        <v>64</v>
      </c>
      <c r="I69" s="12" t="n">
        <v>66</v>
      </c>
      <c r="J69" s="18" t="n">
        <f aca="false">D69/E69</f>
        <v>50.3813747228381</v>
      </c>
      <c r="K69" s="19" t="n">
        <f aca="false">(D69-C69)/C69</f>
        <v>-0.0346673464185572</v>
      </c>
      <c r="L69" s="20" t="n">
        <f aca="false">F69/D69</f>
        <v>0.00347680661913564</v>
      </c>
      <c r="M69" s="21" t="str">
        <f aca="false">IF(OR(G69&lt;0.9,K69&lt;-0.05),"Red",IF(OR(G69&lt;0.95,K69&lt;-0.02),"Amber","Green"))</f>
        <v>Amber</v>
      </c>
    </row>
    <row r="70" customFormat="false" ht="15" hidden="false" customHeight="false" outlineLevel="0" collapsed="false">
      <c r="B70" s="16" t="n">
        <v>46196</v>
      </c>
      <c r="C70" s="11" t="n">
        <v>23137</v>
      </c>
      <c r="D70" s="11" t="n">
        <v>20974</v>
      </c>
      <c r="E70" s="11" t="n">
        <v>598</v>
      </c>
      <c r="F70" s="11" t="n">
        <v>58</v>
      </c>
      <c r="G70" s="17" t="n">
        <v>0.9568</v>
      </c>
      <c r="H70" s="12" t="n">
        <v>60</v>
      </c>
      <c r="I70" s="12" t="n">
        <v>60</v>
      </c>
      <c r="J70" s="18" t="n">
        <f aca="false">D70/E70</f>
        <v>35.0735785953177</v>
      </c>
      <c r="K70" s="19" t="n">
        <f aca="false">(D70-C70)/C70</f>
        <v>-0.0934866231577128</v>
      </c>
      <c r="L70" s="20" t="n">
        <f aca="false">F70/D70</f>
        <v>0.0027653285019548</v>
      </c>
      <c r="M70" s="21" t="str">
        <f aca="false">IF(OR(G70&lt;0.9,K70&lt;-0.05),"Red",IF(OR(G70&lt;0.95,K70&lt;-0.02),"Amber","Green"))</f>
        <v>Red</v>
      </c>
    </row>
    <row r="71" customFormat="false" ht="15" hidden="false" customHeight="false" outlineLevel="0" collapsed="false">
      <c r="B71" s="16" t="n">
        <v>46197</v>
      </c>
      <c r="C71" s="11" t="n">
        <v>18804</v>
      </c>
      <c r="D71" s="11" t="n">
        <v>19381</v>
      </c>
      <c r="E71" s="11" t="n">
        <v>586</v>
      </c>
      <c r="F71" s="11" t="n">
        <v>132</v>
      </c>
      <c r="G71" s="17" t="n">
        <v>0.911</v>
      </c>
      <c r="H71" s="12" t="n">
        <v>56</v>
      </c>
      <c r="I71" s="12" t="n">
        <v>50</v>
      </c>
      <c r="J71" s="18" t="n">
        <f aca="false">D71/E71</f>
        <v>33.0733788395905</v>
      </c>
      <c r="K71" s="19" t="n">
        <f aca="false">(D71-C71)/C71</f>
        <v>0.0306849606466709</v>
      </c>
      <c r="L71" s="20" t="n">
        <f aca="false">F71/D71</f>
        <v>0.00681079407667303</v>
      </c>
      <c r="M71" s="21" t="str">
        <f aca="false">IF(OR(G71&lt;0.9,K71&lt;-0.05),"Red",IF(OR(G71&lt;0.95,K71&lt;-0.02),"Amber","Green"))</f>
        <v>Amber</v>
      </c>
    </row>
    <row r="72" customFormat="false" ht="15" hidden="false" customHeight="false" outlineLevel="0" collapsed="false">
      <c r="B72" s="16" t="n">
        <v>46198</v>
      </c>
      <c r="C72" s="11" t="n">
        <v>18304</v>
      </c>
      <c r="D72" s="11" t="n">
        <v>18501</v>
      </c>
      <c r="E72" s="11" t="n">
        <v>519</v>
      </c>
      <c r="F72" s="11" t="n">
        <v>214</v>
      </c>
      <c r="G72" s="17" t="n">
        <v>0.9708</v>
      </c>
      <c r="H72" s="12" t="n">
        <v>67</v>
      </c>
      <c r="I72" s="12" t="n">
        <v>61</v>
      </c>
      <c r="J72" s="18" t="n">
        <f aca="false">D72/E72</f>
        <v>35.6473988439306</v>
      </c>
      <c r="K72" s="19" t="n">
        <f aca="false">(D72-C72)/C72</f>
        <v>0.0107626748251748</v>
      </c>
      <c r="L72" s="20" t="n">
        <f aca="false">F72/D72</f>
        <v>0.0115669423274418</v>
      </c>
      <c r="M72" s="21" t="str">
        <f aca="false">IF(OR(G72&lt;0.9,K72&lt;-0.05),"Red",IF(OR(G72&lt;0.95,K72&lt;-0.02),"Amber","Green"))</f>
        <v>Green</v>
      </c>
    </row>
    <row r="73" customFormat="false" ht="15" hidden="false" customHeight="false" outlineLevel="0" collapsed="false">
      <c r="B73" s="16" t="n">
        <v>46199</v>
      </c>
      <c r="C73" s="11" t="n">
        <v>18265</v>
      </c>
      <c r="D73" s="11" t="n">
        <v>16491</v>
      </c>
      <c r="E73" s="11" t="n">
        <v>467</v>
      </c>
      <c r="F73" s="11" t="n">
        <v>131</v>
      </c>
      <c r="G73" s="17" t="n">
        <v>0.9419</v>
      </c>
      <c r="H73" s="12" t="n">
        <v>68</v>
      </c>
      <c r="I73" s="12" t="n">
        <v>63</v>
      </c>
      <c r="J73" s="18" t="n">
        <f aca="false">D73/E73</f>
        <v>35.3126338329764</v>
      </c>
      <c r="K73" s="19" t="n">
        <f aca="false">(D73-C73)/C73</f>
        <v>-0.0971256501505612</v>
      </c>
      <c r="L73" s="20" t="n">
        <f aca="false">F73/D73</f>
        <v>0.00794372688132921</v>
      </c>
      <c r="M73" s="21" t="str">
        <f aca="false">IF(OR(G73&lt;0.9,K73&lt;-0.05),"Red",IF(OR(G73&lt;0.95,K73&lt;-0.02),"Amber","Green"))</f>
        <v>Red</v>
      </c>
    </row>
    <row r="74" customFormat="false" ht="15" hidden="false" customHeight="false" outlineLevel="0" collapsed="false">
      <c r="B74" s="16" t="n">
        <v>46200</v>
      </c>
      <c r="C74" s="11" t="n">
        <v>23659</v>
      </c>
      <c r="D74" s="11" t="n">
        <v>22251</v>
      </c>
      <c r="E74" s="11" t="n">
        <v>566</v>
      </c>
      <c r="F74" s="11" t="n">
        <v>174</v>
      </c>
      <c r="G74" s="17" t="n">
        <v>0.9287</v>
      </c>
      <c r="H74" s="12" t="n">
        <v>65</v>
      </c>
      <c r="I74" s="12" t="n">
        <v>70</v>
      </c>
      <c r="J74" s="18" t="n">
        <f aca="false">D74/E74</f>
        <v>39.3127208480565</v>
      </c>
      <c r="K74" s="19" t="n">
        <f aca="false">(D74-C74)/C74</f>
        <v>-0.0595122363582569</v>
      </c>
      <c r="L74" s="20" t="n">
        <f aca="false">F74/D74</f>
        <v>0.00781987326412296</v>
      </c>
      <c r="M74" s="21" t="str">
        <f aca="false">IF(OR(G74&lt;0.9,K74&lt;-0.05),"Red",IF(OR(G74&lt;0.95,K74&lt;-0.02),"Amber","Green"))</f>
        <v>Red</v>
      </c>
    </row>
    <row r="75" customFormat="false" ht="15" hidden="false" customHeight="false" outlineLevel="0" collapsed="false">
      <c r="B75" s="16" t="n">
        <v>46201</v>
      </c>
      <c r="C75" s="11" t="n">
        <v>19794</v>
      </c>
      <c r="D75" s="11" t="n">
        <v>18469</v>
      </c>
      <c r="E75" s="11" t="n">
        <v>521</v>
      </c>
      <c r="F75" s="11" t="n">
        <v>130</v>
      </c>
      <c r="G75" s="17" t="n">
        <v>0.9498</v>
      </c>
      <c r="H75" s="12" t="n">
        <v>75</v>
      </c>
      <c r="I75" s="12" t="n">
        <v>77</v>
      </c>
      <c r="J75" s="18" t="n">
        <f aca="false">D75/E75</f>
        <v>35.4491362763916</v>
      </c>
      <c r="K75" s="19" t="n">
        <f aca="false">(D75-C75)/C75</f>
        <v>-0.0669394766090735</v>
      </c>
      <c r="L75" s="20" t="n">
        <f aca="false">F75/D75</f>
        <v>0.00703882180951865</v>
      </c>
      <c r="M75" s="21" t="str">
        <f aca="false">IF(OR(G75&lt;0.9,K75&lt;-0.05),"Red",IF(OR(G75&lt;0.95,K75&lt;-0.02),"Amber","Green"))</f>
        <v>Red</v>
      </c>
    </row>
    <row r="76" customFormat="false" ht="15" hidden="false" customHeight="false" outlineLevel="0" collapsed="false">
      <c r="B76" s="16" t="n">
        <v>46202</v>
      </c>
      <c r="C76" s="11" t="n">
        <v>23264</v>
      </c>
      <c r="D76" s="11" t="n">
        <v>21777</v>
      </c>
      <c r="E76" s="11" t="n">
        <v>424</v>
      </c>
      <c r="F76" s="11" t="n">
        <v>134</v>
      </c>
      <c r="G76" s="17" t="n">
        <v>0.9368</v>
      </c>
      <c r="H76" s="12" t="n">
        <v>60</v>
      </c>
      <c r="I76" s="12" t="n">
        <v>65</v>
      </c>
      <c r="J76" s="18" t="n">
        <f aca="false">D76/E76</f>
        <v>51.3608490566038</v>
      </c>
      <c r="K76" s="19" t="n">
        <f aca="false">(D76-C76)/C76</f>
        <v>-0.0639185006877579</v>
      </c>
      <c r="L76" s="20" t="n">
        <f aca="false">F76/D76</f>
        <v>0.00615328098452496</v>
      </c>
      <c r="M76" s="21" t="str">
        <f aca="false">IF(OR(G76&lt;0.9,K76&lt;-0.05),"Red",IF(OR(G76&lt;0.95,K76&lt;-0.02),"Amber","Green"))</f>
        <v>Red</v>
      </c>
    </row>
    <row r="77" customFormat="false" ht="15" hidden="false" customHeight="false" outlineLevel="0" collapsed="false">
      <c r="B77" s="16" t="n">
        <v>46203</v>
      </c>
      <c r="C77" s="11" t="n">
        <v>24971</v>
      </c>
      <c r="D77" s="11" t="n">
        <v>24579</v>
      </c>
      <c r="E77" s="11" t="n">
        <v>581</v>
      </c>
      <c r="F77" s="11" t="n">
        <v>111</v>
      </c>
      <c r="G77" s="17" t="n">
        <v>0.9581</v>
      </c>
      <c r="H77" s="12" t="n">
        <v>61</v>
      </c>
      <c r="I77" s="12" t="n">
        <v>63</v>
      </c>
      <c r="J77" s="18" t="n">
        <f aca="false">D77/E77</f>
        <v>42.3046471600688</v>
      </c>
      <c r="K77" s="19" t="n">
        <f aca="false">(D77-C77)/C77</f>
        <v>-0.0156982099235113</v>
      </c>
      <c r="L77" s="20" t="n">
        <f aca="false">F77/D77</f>
        <v>0.00451605028683022</v>
      </c>
      <c r="M77" s="21" t="str">
        <f aca="false">IF(OR(G77&lt;0.9,K77&lt;-0.05),"Red",IF(OR(G77&lt;0.95,K77&lt;-0.02),"Amber","Green"))</f>
        <v>Green</v>
      </c>
    </row>
    <row r="78" customFormat="false" ht="15" hidden="false" customHeight="false" outlineLevel="0" collapsed="false">
      <c r="B78" s="16" t="n">
        <v>46204</v>
      </c>
      <c r="C78" s="11" t="n">
        <v>24370</v>
      </c>
      <c r="D78" s="11" t="n">
        <v>24823</v>
      </c>
      <c r="E78" s="11" t="n">
        <v>601</v>
      </c>
      <c r="F78" s="11" t="n">
        <v>176</v>
      </c>
      <c r="G78" s="17" t="n">
        <v>0.9494</v>
      </c>
      <c r="H78" s="12" t="n">
        <v>58</v>
      </c>
      <c r="I78" s="12" t="n">
        <v>54</v>
      </c>
      <c r="J78" s="18" t="n">
        <f aca="false">D78/E78</f>
        <v>41.3028286189684</v>
      </c>
      <c r="K78" s="19" t="n">
        <f aca="false">(D78-C78)/C78</f>
        <v>0.0185884283955683</v>
      </c>
      <c r="L78" s="20" t="n">
        <f aca="false">F78/D78</f>
        <v>0.00709019860613141</v>
      </c>
      <c r="M78" s="21" t="str">
        <f aca="false">IF(OR(G78&lt;0.9,K78&lt;-0.05),"Red",IF(OR(G78&lt;0.95,K78&lt;-0.02),"Amber","Green"))</f>
        <v>Amber</v>
      </c>
    </row>
    <row r="79" customFormat="false" ht="15" hidden="false" customHeight="false" outlineLevel="0" collapsed="false">
      <c r="B79" s="16" t="n">
        <v>46205</v>
      </c>
      <c r="C79" s="11" t="n">
        <v>21196</v>
      </c>
      <c r="D79" s="11" t="n">
        <v>19856</v>
      </c>
      <c r="E79" s="11" t="n">
        <v>608</v>
      </c>
      <c r="F79" s="11" t="n">
        <v>218</v>
      </c>
      <c r="G79" s="17" t="n">
        <v>0.9713</v>
      </c>
      <c r="H79" s="12" t="n">
        <v>55</v>
      </c>
      <c r="I79" s="12" t="n">
        <v>61</v>
      </c>
      <c r="J79" s="18" t="n">
        <f aca="false">D79/E79</f>
        <v>32.6578947368421</v>
      </c>
      <c r="K79" s="19" t="n">
        <f aca="false">(D79-C79)/C79</f>
        <v>-0.0632194753727118</v>
      </c>
      <c r="L79" s="20" t="n">
        <f aca="false">F79/D79</f>
        <v>0.0109790491539081</v>
      </c>
      <c r="M79" s="21" t="str">
        <f aca="false">IF(OR(G79&lt;0.9,K79&lt;-0.05),"Red",IF(OR(G79&lt;0.95,K79&lt;-0.02),"Amber","Green"))</f>
        <v>Red</v>
      </c>
    </row>
    <row r="80" customFormat="false" ht="15" hidden="false" customHeight="false" outlineLevel="0" collapsed="false">
      <c r="B80" s="16" t="n">
        <v>46206</v>
      </c>
      <c r="C80" s="11" t="n">
        <v>20882</v>
      </c>
      <c r="D80" s="11" t="n">
        <v>19392</v>
      </c>
      <c r="E80" s="11" t="n">
        <v>543</v>
      </c>
      <c r="F80" s="11" t="n">
        <v>195</v>
      </c>
      <c r="G80" s="17" t="n">
        <v>0.8829</v>
      </c>
      <c r="H80" s="12" t="n">
        <v>67</v>
      </c>
      <c r="I80" s="12" t="n">
        <v>69</v>
      </c>
      <c r="J80" s="18" t="n">
        <f aca="false">D80/E80</f>
        <v>35.7127071823204</v>
      </c>
      <c r="K80" s="19" t="n">
        <f aca="false">(D80-C80)/C80</f>
        <v>-0.0713533186476391</v>
      </c>
      <c r="L80" s="20" t="n">
        <f aca="false">F80/D80</f>
        <v>0.0100556930693069</v>
      </c>
      <c r="M80" s="21" t="str">
        <f aca="false">IF(OR(G80&lt;0.9,K80&lt;-0.05),"Red",IF(OR(G80&lt;0.95,K80&lt;-0.02),"Amber","Green"))</f>
        <v>Red</v>
      </c>
    </row>
    <row r="81" customFormat="false" ht="15" hidden="false" customHeight="false" outlineLevel="0" collapsed="false">
      <c r="B81" s="16" t="n">
        <v>46207</v>
      </c>
      <c r="C81" s="11" t="n">
        <v>24131</v>
      </c>
      <c r="D81" s="11" t="n">
        <v>22592</v>
      </c>
      <c r="E81" s="11" t="n">
        <v>456</v>
      </c>
      <c r="F81" s="11" t="n">
        <v>177</v>
      </c>
      <c r="G81" s="17" t="n">
        <v>0.9376</v>
      </c>
      <c r="H81" s="12" t="n">
        <v>68</v>
      </c>
      <c r="I81" s="12" t="n">
        <v>63</v>
      </c>
      <c r="J81" s="18" t="n">
        <f aca="false">D81/E81</f>
        <v>49.5438596491228</v>
      </c>
      <c r="K81" s="19" t="n">
        <f aca="false">(D81-C81)/C81</f>
        <v>-0.063776884505408</v>
      </c>
      <c r="L81" s="20" t="n">
        <f aca="false">F81/D81</f>
        <v>0.00783463172804533</v>
      </c>
      <c r="M81" s="21" t="str">
        <f aca="false">IF(OR(G81&lt;0.9,K81&lt;-0.05),"Red",IF(OR(G81&lt;0.95,K81&lt;-0.02),"Amber","Green"))</f>
        <v>Red</v>
      </c>
    </row>
    <row r="82" customFormat="false" ht="15" hidden="false" customHeight="false" outlineLevel="0" collapsed="false">
      <c r="B82" s="16" t="n">
        <v>46208</v>
      </c>
      <c r="C82" s="11" t="n">
        <v>19854</v>
      </c>
      <c r="D82" s="11" t="n">
        <v>19762</v>
      </c>
      <c r="E82" s="11" t="n">
        <v>531</v>
      </c>
      <c r="F82" s="11" t="n">
        <v>155</v>
      </c>
      <c r="G82" s="17" t="n">
        <v>0.9651</v>
      </c>
      <c r="H82" s="12" t="n">
        <v>66</v>
      </c>
      <c r="I82" s="12" t="n">
        <v>72</v>
      </c>
      <c r="J82" s="18" t="n">
        <f aca="false">D82/E82</f>
        <v>37.2165725047081</v>
      </c>
      <c r="K82" s="19" t="n">
        <f aca="false">(D82-C82)/C82</f>
        <v>-0.00463382693663745</v>
      </c>
      <c r="L82" s="20" t="n">
        <f aca="false">F82/D82</f>
        <v>0.00784333569476774</v>
      </c>
      <c r="M82" s="21" t="str">
        <f aca="false">IF(OR(G82&lt;0.9,K82&lt;-0.05),"Red",IF(OR(G82&lt;0.95,K82&lt;-0.02),"Amber","Green"))</f>
        <v>Green</v>
      </c>
    </row>
    <row r="83" customFormat="false" ht="15" hidden="false" customHeight="false" outlineLevel="0" collapsed="false">
      <c r="B83" s="16" t="n">
        <v>46209</v>
      </c>
      <c r="C83" s="11" t="n">
        <v>18678</v>
      </c>
      <c r="D83" s="11" t="n">
        <v>17460</v>
      </c>
      <c r="E83" s="11" t="n">
        <v>501</v>
      </c>
      <c r="F83" s="11" t="n">
        <v>85</v>
      </c>
      <c r="G83" s="17" t="n">
        <v>0.9205</v>
      </c>
      <c r="H83" s="12" t="n">
        <v>76</v>
      </c>
      <c r="I83" s="12" t="n">
        <v>81</v>
      </c>
      <c r="J83" s="18" t="n">
        <f aca="false">D83/E83</f>
        <v>34.8502994011976</v>
      </c>
      <c r="K83" s="19" t="n">
        <f aca="false">(D83-C83)/C83</f>
        <v>-0.0652104079665917</v>
      </c>
      <c r="L83" s="20" t="n">
        <f aca="false">F83/D83</f>
        <v>0.00486827033218786</v>
      </c>
      <c r="M83" s="21" t="str">
        <f aca="false">IF(OR(G83&lt;0.9,K83&lt;-0.05),"Red",IF(OR(G83&lt;0.95,K83&lt;-0.02),"Amber","Green"))</f>
        <v>Red</v>
      </c>
    </row>
    <row r="84" customFormat="false" ht="15" hidden="false" customHeight="false" outlineLevel="0" collapsed="false">
      <c r="B84" s="16" t="n">
        <v>46210</v>
      </c>
      <c r="C84" s="11" t="n">
        <v>25098</v>
      </c>
      <c r="D84" s="11" t="n">
        <v>24381</v>
      </c>
      <c r="E84" s="11" t="n">
        <v>535</v>
      </c>
      <c r="F84" s="11" t="n">
        <v>46</v>
      </c>
      <c r="G84" s="17" t="n">
        <v>0.9848</v>
      </c>
      <c r="H84" s="12" t="n">
        <v>73</v>
      </c>
      <c r="I84" s="12" t="n">
        <v>77</v>
      </c>
      <c r="J84" s="18" t="n">
        <f aca="false">D84/E84</f>
        <v>45.5719626168224</v>
      </c>
      <c r="K84" s="19" t="n">
        <f aca="false">(D84-C84)/C84</f>
        <v>-0.0285680133875209</v>
      </c>
      <c r="L84" s="20" t="n">
        <f aca="false">F84/D84</f>
        <v>0.00188671506500964</v>
      </c>
      <c r="M84" s="21" t="str">
        <f aca="false">IF(OR(G84&lt;0.9,K84&lt;-0.05),"Red",IF(OR(G84&lt;0.95,K84&lt;-0.02),"Amber","Green"))</f>
        <v>Amber</v>
      </c>
    </row>
    <row r="85" customFormat="false" ht="15" hidden="false" customHeight="false" outlineLevel="0" collapsed="false">
      <c r="B85" s="16" t="n">
        <v>46211</v>
      </c>
      <c r="C85" s="11" t="n">
        <v>18215</v>
      </c>
      <c r="D85" s="11" t="n">
        <v>18740</v>
      </c>
      <c r="E85" s="11" t="n">
        <v>568</v>
      </c>
      <c r="F85" s="11" t="n">
        <v>67</v>
      </c>
      <c r="G85" s="17" t="n">
        <v>0.9045</v>
      </c>
      <c r="H85" s="12" t="n">
        <v>72</v>
      </c>
      <c r="I85" s="12" t="n">
        <v>72</v>
      </c>
      <c r="J85" s="18" t="n">
        <f aca="false">D85/E85</f>
        <v>32.9929577464789</v>
      </c>
      <c r="K85" s="19" t="n">
        <f aca="false">(D85-C85)/C85</f>
        <v>0.0288223991216031</v>
      </c>
      <c r="L85" s="20" t="n">
        <f aca="false">F85/D85</f>
        <v>0.0035752401280683</v>
      </c>
      <c r="M85" s="21" t="str">
        <f aca="false">IF(OR(G85&lt;0.9,K85&lt;-0.05),"Red",IF(OR(G85&lt;0.95,K85&lt;-0.02),"Amber","Green"))</f>
        <v>Amber</v>
      </c>
    </row>
    <row r="86" customFormat="false" ht="15" hidden="false" customHeight="false" outlineLevel="0" collapsed="false">
      <c r="B86" s="16" t="n">
        <v>46212</v>
      </c>
      <c r="C86" s="11" t="n">
        <v>21034</v>
      </c>
      <c r="D86" s="11" t="n">
        <v>22500</v>
      </c>
      <c r="E86" s="11" t="n">
        <v>618</v>
      </c>
      <c r="F86" s="11" t="n">
        <v>115</v>
      </c>
      <c r="G86" s="17" t="n">
        <v>0.8941</v>
      </c>
      <c r="H86" s="12" t="n">
        <v>62</v>
      </c>
      <c r="I86" s="12" t="n">
        <v>64</v>
      </c>
      <c r="J86" s="18" t="n">
        <f aca="false">D86/E86</f>
        <v>36.4077669902913</v>
      </c>
      <c r="K86" s="19" t="n">
        <f aca="false">(D86-C86)/C86</f>
        <v>0.0696966815631834</v>
      </c>
      <c r="L86" s="20" t="n">
        <f aca="false">F86/D86</f>
        <v>0.00511111111111111</v>
      </c>
      <c r="M86" s="21" t="str">
        <f aca="false">IF(OR(G86&lt;0.9,K86&lt;-0.05),"Red",IF(OR(G86&lt;0.95,K86&lt;-0.02),"Amber","Green"))</f>
        <v>Red</v>
      </c>
    </row>
    <row r="87" customFormat="false" ht="15" hidden="false" customHeight="false" outlineLevel="0" collapsed="false">
      <c r="B87" s="16" t="n">
        <v>46213</v>
      </c>
      <c r="C87" s="11" t="n">
        <v>21475</v>
      </c>
      <c r="D87" s="11" t="n">
        <v>21788</v>
      </c>
      <c r="E87" s="11" t="n">
        <v>548</v>
      </c>
      <c r="F87" s="11" t="n">
        <v>166</v>
      </c>
      <c r="G87" s="17" t="n">
        <v>0.9664</v>
      </c>
      <c r="H87" s="12" t="n">
        <v>75</v>
      </c>
      <c r="I87" s="12" t="n">
        <v>70</v>
      </c>
      <c r="J87" s="18" t="n">
        <f aca="false">D87/E87</f>
        <v>39.7591240875912</v>
      </c>
      <c r="K87" s="19" t="n">
        <f aca="false">(D87-C87)/C87</f>
        <v>0.0145750873108265</v>
      </c>
      <c r="L87" s="20" t="n">
        <f aca="false">F87/D87</f>
        <v>0.00761887277400404</v>
      </c>
      <c r="M87" s="21" t="str">
        <f aca="false">IF(OR(G87&lt;0.9,K87&lt;-0.05),"Red",IF(OR(G87&lt;0.95,K87&lt;-0.02),"Amber","Green"))</f>
        <v>Green</v>
      </c>
    </row>
    <row r="88" customFormat="false" ht="15" hidden="false" customHeight="false" outlineLevel="0" collapsed="false">
      <c r="B88" s="16" t="n">
        <v>46214</v>
      </c>
      <c r="C88" s="11" t="n">
        <v>20072</v>
      </c>
      <c r="D88" s="11" t="n">
        <v>18627</v>
      </c>
      <c r="E88" s="11" t="n">
        <v>506</v>
      </c>
      <c r="F88" s="11" t="n">
        <v>136</v>
      </c>
      <c r="G88" s="17" t="n">
        <v>0.9056</v>
      </c>
      <c r="H88" s="12" t="n">
        <v>70</v>
      </c>
      <c r="I88" s="12" t="n">
        <v>66</v>
      </c>
      <c r="J88" s="18" t="n">
        <f aca="false">D88/E88</f>
        <v>36.8122529644269</v>
      </c>
      <c r="K88" s="19" t="n">
        <f aca="false">(D88-C88)/C88</f>
        <v>-0.0719908330011957</v>
      </c>
      <c r="L88" s="20" t="n">
        <f aca="false">F88/D88</f>
        <v>0.00730122939818543</v>
      </c>
      <c r="M88" s="21" t="str">
        <f aca="false">IF(OR(G88&lt;0.9,K88&lt;-0.05),"Red",IF(OR(G88&lt;0.95,K88&lt;-0.02),"Amber","Green"))</f>
        <v>Red</v>
      </c>
    </row>
    <row r="89" customFormat="false" ht="15" hidden="false" customHeight="false" outlineLevel="0" collapsed="false">
      <c r="B89" s="16" t="n">
        <v>46215</v>
      </c>
      <c r="C89" s="11" t="n">
        <v>18331</v>
      </c>
      <c r="D89" s="11" t="n">
        <v>18333</v>
      </c>
      <c r="E89" s="11" t="n">
        <v>592</v>
      </c>
      <c r="F89" s="11" t="n">
        <v>92</v>
      </c>
      <c r="G89" s="17" t="n">
        <v>0.8841</v>
      </c>
      <c r="H89" s="12" t="n">
        <v>65</v>
      </c>
      <c r="I89" s="12" t="n">
        <v>66</v>
      </c>
      <c r="J89" s="18" t="n">
        <f aca="false">D89/E89</f>
        <v>30.9679054054054</v>
      </c>
      <c r="K89" s="19" t="n">
        <f aca="false">(D89-C89)/C89</f>
        <v>0.000109104795155747</v>
      </c>
      <c r="L89" s="20" t="n">
        <f aca="false">F89/D89</f>
        <v>0.00501827305951017</v>
      </c>
      <c r="M89" s="21" t="str">
        <f aca="false">IF(OR(G89&lt;0.9,K89&lt;-0.05),"Red",IF(OR(G89&lt;0.95,K89&lt;-0.02),"Amber","Green"))</f>
        <v>Red</v>
      </c>
    </row>
    <row r="90" customFormat="false" ht="15" hidden="false" customHeight="false" outlineLevel="0" collapsed="false">
      <c r="B90" s="16" t="n">
        <v>46216</v>
      </c>
      <c r="C90" s="11" t="n">
        <v>21606</v>
      </c>
      <c r="D90" s="11" t="n">
        <v>22694</v>
      </c>
      <c r="E90" s="11" t="n">
        <v>480</v>
      </c>
      <c r="F90" s="11" t="n">
        <v>75</v>
      </c>
      <c r="G90" s="17" t="n">
        <v>0.964</v>
      </c>
      <c r="H90" s="12" t="n">
        <v>60</v>
      </c>
      <c r="I90" s="12" t="n">
        <v>58</v>
      </c>
      <c r="J90" s="18" t="n">
        <f aca="false">D90/E90</f>
        <v>47.2791666666667</v>
      </c>
      <c r="K90" s="19" t="n">
        <f aca="false">(D90-C90)/C90</f>
        <v>0.0503563824863464</v>
      </c>
      <c r="L90" s="20" t="n">
        <f aca="false">F90/D90</f>
        <v>0.00330483828324667</v>
      </c>
      <c r="M90" s="21" t="str">
        <f aca="false">IF(OR(G90&lt;0.9,K90&lt;-0.05),"Red",IF(OR(G90&lt;0.95,K90&lt;-0.02),"Amber","Green"))</f>
        <v>Green</v>
      </c>
    </row>
    <row r="91" customFormat="false" ht="15" hidden="false" customHeight="false" outlineLevel="0" collapsed="false">
      <c r="B91" s="16" t="n">
        <v>46217</v>
      </c>
      <c r="C91" s="11" t="n">
        <v>19165</v>
      </c>
      <c r="D91" s="11" t="n">
        <v>18577</v>
      </c>
      <c r="E91" s="11" t="n">
        <v>427</v>
      </c>
      <c r="F91" s="11" t="n">
        <v>210</v>
      </c>
      <c r="G91" s="17" t="n">
        <v>0.9797</v>
      </c>
      <c r="H91" s="12" t="n">
        <v>64</v>
      </c>
      <c r="I91" s="12" t="n">
        <v>65</v>
      </c>
      <c r="J91" s="18" t="n">
        <f aca="false">D91/E91</f>
        <v>43.5058548009368</v>
      </c>
      <c r="K91" s="19" t="n">
        <f aca="false">(D91-C91)/C91</f>
        <v>-0.0306809287764153</v>
      </c>
      <c r="L91" s="20" t="n">
        <f aca="false">F91/D91</f>
        <v>0.0113043010173871</v>
      </c>
      <c r="M91" s="21" t="str">
        <f aca="false">IF(OR(G91&lt;0.9,K91&lt;-0.05),"Red",IF(OR(G91&lt;0.95,K91&lt;-0.02),"Amber","Green"))</f>
        <v>Amber</v>
      </c>
    </row>
    <row r="92" customFormat="false" ht="15" hidden="false" customHeight="false" outlineLevel="0" collapsed="false">
      <c r="B92" s="16" t="n">
        <v>46218</v>
      </c>
      <c r="C92" s="11" t="n">
        <v>24819</v>
      </c>
      <c r="D92" s="11" t="n">
        <v>24494</v>
      </c>
      <c r="E92" s="11" t="n">
        <v>459</v>
      </c>
      <c r="F92" s="11" t="n">
        <v>98</v>
      </c>
      <c r="G92" s="17" t="n">
        <v>0.98</v>
      </c>
      <c r="H92" s="12" t="n">
        <v>72</v>
      </c>
      <c r="I92" s="12" t="n">
        <v>76</v>
      </c>
      <c r="J92" s="18" t="n">
        <f aca="false">D92/E92</f>
        <v>53.363834422658</v>
      </c>
      <c r="K92" s="19" t="n">
        <f aca="false">(D92-C92)/C92</f>
        <v>-0.0130948063983239</v>
      </c>
      <c r="L92" s="20" t="n">
        <f aca="false">F92/D92</f>
        <v>0.00400097983179554</v>
      </c>
      <c r="M92" s="21" t="str">
        <f aca="false">IF(OR(G92&lt;0.9,K92&lt;-0.05),"Red",IF(OR(G92&lt;0.95,K92&lt;-0.02),"Amber","Green"))</f>
        <v>Green</v>
      </c>
    </row>
    <row r="93" customFormat="false" ht="15" hidden="false" customHeight="false" outlineLevel="0" collapsed="false">
      <c r="B93" s="16" t="n">
        <v>46219</v>
      </c>
      <c r="C93" s="11" t="n">
        <v>24267</v>
      </c>
      <c r="D93" s="11" t="n">
        <v>24044</v>
      </c>
      <c r="E93" s="11" t="n">
        <v>555</v>
      </c>
      <c r="F93" s="11" t="n">
        <v>46</v>
      </c>
      <c r="G93" s="17" t="n">
        <v>0.9226</v>
      </c>
      <c r="H93" s="12" t="n">
        <v>59</v>
      </c>
      <c r="I93" s="12" t="n">
        <v>58</v>
      </c>
      <c r="J93" s="18" t="n">
        <f aca="false">D93/E93</f>
        <v>43.3225225225225</v>
      </c>
      <c r="K93" s="19" t="n">
        <f aca="false">(D93-C93)/C93</f>
        <v>-0.00918943421106853</v>
      </c>
      <c r="L93" s="20" t="n">
        <f aca="false">F93/D93</f>
        <v>0.00191315920811845</v>
      </c>
      <c r="M93" s="21" t="str">
        <f aca="false">IF(OR(G93&lt;0.9,K93&lt;-0.05),"Red",IF(OR(G93&lt;0.95,K93&lt;-0.02),"Amber","Green"))</f>
        <v>Amber</v>
      </c>
    </row>
    <row r="94" customFormat="false" ht="15" hidden="false" customHeight="false" outlineLevel="0" collapsed="false">
      <c r="B94" s="16" t="n">
        <v>46220</v>
      </c>
      <c r="C94" s="11" t="n">
        <v>20734</v>
      </c>
      <c r="D94" s="11" t="n">
        <v>20424</v>
      </c>
      <c r="E94" s="11" t="n">
        <v>491</v>
      </c>
      <c r="F94" s="11" t="n">
        <v>184</v>
      </c>
      <c r="G94" s="17" t="n">
        <v>0.9523</v>
      </c>
      <c r="H94" s="12" t="n">
        <v>74</v>
      </c>
      <c r="I94" s="12" t="n">
        <v>77</v>
      </c>
      <c r="J94" s="18" t="n">
        <f aca="false">D94/E94</f>
        <v>41.5967413441955</v>
      </c>
      <c r="K94" s="19" t="n">
        <f aca="false">(D94-C94)/C94</f>
        <v>-0.0149512877399441</v>
      </c>
      <c r="L94" s="20" t="n">
        <f aca="false">F94/D94</f>
        <v>0.00900900900900901</v>
      </c>
      <c r="M94" s="21" t="str">
        <f aca="false">IF(OR(G94&lt;0.9,K94&lt;-0.05),"Red",IF(OR(G94&lt;0.95,K94&lt;-0.02),"Amber","Green"))</f>
        <v>Green</v>
      </c>
    </row>
    <row r="95" customFormat="false" ht="15" hidden="false" customHeight="false" outlineLevel="0" collapsed="false">
      <c r="B95" s="16" t="n">
        <v>46221</v>
      </c>
      <c r="C95" s="11" t="n">
        <v>23677</v>
      </c>
      <c r="D95" s="11" t="n">
        <v>21766</v>
      </c>
      <c r="E95" s="11" t="n">
        <v>593</v>
      </c>
      <c r="F95" s="11" t="n">
        <v>66</v>
      </c>
      <c r="G95" s="17" t="n">
        <v>0.9231</v>
      </c>
      <c r="H95" s="12" t="n">
        <v>63</v>
      </c>
      <c r="I95" s="12" t="n">
        <v>66</v>
      </c>
      <c r="J95" s="18" t="n">
        <f aca="false">D95/E95</f>
        <v>36.7048903878584</v>
      </c>
      <c r="K95" s="19" t="n">
        <f aca="false">(D95-C95)/C95</f>
        <v>-0.0807112387549098</v>
      </c>
      <c r="L95" s="20" t="n">
        <f aca="false">F95/D95</f>
        <v>0.00303225213635946</v>
      </c>
      <c r="M95" s="21" t="str">
        <f aca="false">IF(OR(G95&lt;0.9,K95&lt;-0.05),"Red",IF(OR(G95&lt;0.95,K95&lt;-0.02),"Amber","Green"))</f>
        <v>Red</v>
      </c>
    </row>
    <row r="96" customFormat="false" ht="15" hidden="false" customHeight="false" outlineLevel="0" collapsed="false">
      <c r="B96" s="16" t="n">
        <v>46222</v>
      </c>
      <c r="C96" s="11" t="n">
        <v>24405</v>
      </c>
      <c r="D96" s="11" t="n">
        <v>24084</v>
      </c>
      <c r="E96" s="11" t="n">
        <v>579</v>
      </c>
      <c r="F96" s="11" t="n">
        <v>90</v>
      </c>
      <c r="G96" s="17" t="n">
        <v>0.9485</v>
      </c>
      <c r="H96" s="12" t="n">
        <v>65</v>
      </c>
      <c r="I96" s="12" t="n">
        <v>71</v>
      </c>
      <c r="J96" s="18" t="n">
        <f aca="false">D96/E96</f>
        <v>41.5958549222798</v>
      </c>
      <c r="K96" s="19" t="n">
        <f aca="false">(D96-C96)/C96</f>
        <v>-0.0131530424093423</v>
      </c>
      <c r="L96" s="20" t="n">
        <f aca="false">F96/D96</f>
        <v>0.00373692077727952</v>
      </c>
      <c r="M96" s="21" t="str">
        <f aca="false">IF(OR(G96&lt;0.9,K96&lt;-0.05),"Red",IF(OR(G96&lt;0.95,K96&lt;-0.02),"Amber","Green"))</f>
        <v>Amber</v>
      </c>
    </row>
    <row r="97" customFormat="false" ht="15" hidden="false" customHeight="false" outlineLevel="0" collapsed="false">
      <c r="B97" s="16" t="n">
        <v>46223</v>
      </c>
      <c r="C97" s="11" t="n">
        <v>24952</v>
      </c>
      <c r="D97" s="11" t="n">
        <v>23068</v>
      </c>
      <c r="E97" s="11" t="n">
        <v>569</v>
      </c>
      <c r="F97" s="11" t="n">
        <v>103</v>
      </c>
      <c r="G97" s="17" t="n">
        <v>0.9529</v>
      </c>
      <c r="H97" s="12" t="n">
        <v>59</v>
      </c>
      <c r="I97" s="12" t="n">
        <v>63</v>
      </c>
      <c r="J97" s="18" t="n">
        <f aca="false">D97/E97</f>
        <v>40.5413005272408</v>
      </c>
      <c r="K97" s="19" t="n">
        <f aca="false">(D97-C97)/C97</f>
        <v>-0.0755049695415197</v>
      </c>
      <c r="L97" s="20" t="n">
        <f aca="false">F97/D97</f>
        <v>0.00446505982313161</v>
      </c>
      <c r="M97" s="21" t="str">
        <f aca="false">IF(OR(G97&lt;0.9,K97&lt;-0.05),"Red",IF(OR(G97&lt;0.95,K97&lt;-0.02),"Amber","Green"))</f>
        <v>Red</v>
      </c>
    </row>
    <row r="98" customFormat="false" ht="15" hidden="false" customHeight="false" outlineLevel="0" collapsed="false">
      <c r="B98" s="16" t="n">
        <v>46224</v>
      </c>
      <c r="C98" s="11" t="n">
        <v>24808</v>
      </c>
      <c r="D98" s="11" t="n">
        <v>26438</v>
      </c>
      <c r="E98" s="11" t="n">
        <v>473</v>
      </c>
      <c r="F98" s="11" t="n">
        <v>214</v>
      </c>
      <c r="G98" s="17" t="n">
        <v>0.951</v>
      </c>
      <c r="H98" s="12" t="n">
        <v>75</v>
      </c>
      <c r="I98" s="12" t="n">
        <v>70</v>
      </c>
      <c r="J98" s="18" t="n">
        <f aca="false">D98/E98</f>
        <v>55.8942917547569</v>
      </c>
      <c r="K98" s="19" t="n">
        <f aca="false">(D98-C98)/C98</f>
        <v>0.0657046114156724</v>
      </c>
      <c r="L98" s="20" t="n">
        <f aca="false">F98/D98</f>
        <v>0.0080944095619941</v>
      </c>
      <c r="M98" s="21" t="str">
        <f aca="false">IF(OR(G98&lt;0.9,K98&lt;-0.05),"Red",IF(OR(G98&lt;0.95,K98&lt;-0.02),"Amber","Green"))</f>
        <v>Green</v>
      </c>
    </row>
  </sheetData>
  <autoFilter ref="B2:M98"/>
  <conditionalFormatting sqref="M3:M98">
    <cfRule type="cellIs" priority="2" operator="equal" aboveAverage="0" equalAverage="0" bottom="0" percent="0" rank="0" text="" dxfId="91">
      <formula>"Red"</formula>
    </cfRule>
    <cfRule type="cellIs" priority="3" operator="equal" aboveAverage="0" equalAverage="0" bottom="0" percent="0" rank="0" text="" dxfId="92">
      <formula>"Amber"</formula>
    </cfRule>
    <cfRule type="cellIs" priority="4" operator="equal" aboveAverage="0" equalAverage="0" bottom="0" percent="0" rank="0" text="" dxfId="93">
      <formula>"Green"</formula>
    </cfRule>
  </conditionalFormatting>
  <conditionalFormatting sqref="K3:K98">
    <cfRule type="dataBar" priority="5">
      <dataBar showValue="1" minLength="10" maxLength="90">
        <cfvo type="min" val="0"/>
        <cfvo type="max" val="0"/>
        <color rgb="FF2F6B7A"/>
      </dataBar>
      <extLst>
        <ext xmlns:x14="http://schemas.microsoft.com/office/spreadsheetml/2009/9/main" uri="{B025F937-C7B1-47D3-B67F-A62EFF666E3E}">
          <x14:id>{6F417290-666E-4E4A-8E8A-3F5F467AD2D9}</x14:id>
        </ext>
      </extLst>
    </cfRule>
  </conditionalFormatting>
  <conditionalFormatting sqref="L3:L98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417290-666E-4E4A-8E8A-3F5F467AD2D9}">
            <x14:dataBar minLength="10" maxLength="90" axisPosition="none" gradient="true">
              <x14:cfvo type="min"/>
              <x14:cfvo type="max"/>
              <x14:negativeFillColor rgb="FF2F6B7A"/>
              <x14:axisColor rgb="FF000000"/>
            </x14:dataBar>
          </x14:cfRule>
          <xm:sqref>K3:K98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2" customFormat="false" ht="15" hidden="false" customHeight="false" outlineLevel="0" collapsed="false">
      <c r="B2" s="15" t="s">
        <v>27</v>
      </c>
      <c r="C2" s="15" t="s">
        <v>39</v>
      </c>
      <c r="D2" s="15" t="s">
        <v>33</v>
      </c>
      <c r="E2" s="15" t="s">
        <v>34</v>
      </c>
      <c r="F2" s="15" t="s">
        <v>40</v>
      </c>
      <c r="G2" s="15" t="s">
        <v>30</v>
      </c>
      <c r="H2" s="15" t="s">
        <v>41</v>
      </c>
      <c r="I2" s="15" t="s">
        <v>35</v>
      </c>
    </row>
    <row r="3" customFormat="false" ht="15" hidden="false" customHeight="false" outlineLevel="0" collapsed="false">
      <c r="B3" s="16" t="n">
        <v>46208</v>
      </c>
      <c r="C3" s="10" t="s">
        <v>42</v>
      </c>
      <c r="D3" s="12" t="n">
        <v>15</v>
      </c>
      <c r="E3" s="12" t="n">
        <v>13</v>
      </c>
      <c r="F3" s="11" t="n">
        <v>5538</v>
      </c>
      <c r="G3" s="11" t="n">
        <v>101</v>
      </c>
      <c r="H3" s="19" t="n">
        <f aca="false">(E3-D3)/D3</f>
        <v>-0.133333333333333</v>
      </c>
      <c r="I3" s="18" t="n">
        <f aca="false">F3/G3</f>
        <v>54.8316831683168</v>
      </c>
    </row>
    <row r="4" customFormat="false" ht="15" hidden="false" customHeight="false" outlineLevel="0" collapsed="false">
      <c r="B4" s="16" t="n">
        <v>46218</v>
      </c>
      <c r="C4" s="10" t="s">
        <v>43</v>
      </c>
      <c r="D4" s="12" t="n">
        <v>12</v>
      </c>
      <c r="E4" s="12" t="n">
        <v>14</v>
      </c>
      <c r="F4" s="11" t="n">
        <v>7188</v>
      </c>
      <c r="G4" s="11" t="n">
        <v>83</v>
      </c>
      <c r="H4" s="19" t="n">
        <f aca="false">(E4-D4)/D4</f>
        <v>0.166666666666667</v>
      </c>
      <c r="I4" s="18" t="n">
        <f aca="false">F4/G4</f>
        <v>86.6024096385542</v>
      </c>
    </row>
    <row r="5" customFormat="false" ht="15" hidden="false" customHeight="false" outlineLevel="0" collapsed="false">
      <c r="B5" s="16" t="n">
        <v>46213</v>
      </c>
      <c r="C5" s="10" t="s">
        <v>44</v>
      </c>
      <c r="D5" s="12" t="n">
        <v>12</v>
      </c>
      <c r="E5" s="12" t="n">
        <v>10</v>
      </c>
      <c r="F5" s="11" t="n">
        <v>6952</v>
      </c>
      <c r="G5" s="11" t="n">
        <v>76</v>
      </c>
      <c r="H5" s="19" t="n">
        <f aca="false">(E5-D5)/D5</f>
        <v>-0.166666666666667</v>
      </c>
      <c r="I5" s="18" t="n">
        <f aca="false">F5/G5</f>
        <v>91.4736842105263</v>
      </c>
    </row>
    <row r="6" customFormat="false" ht="15" hidden="false" customHeight="false" outlineLevel="0" collapsed="false">
      <c r="B6" s="16" t="n">
        <v>46216</v>
      </c>
      <c r="C6" s="10" t="s">
        <v>43</v>
      </c>
      <c r="D6" s="12" t="n">
        <v>18</v>
      </c>
      <c r="E6" s="12" t="n">
        <v>15</v>
      </c>
      <c r="F6" s="11" t="n">
        <v>4004</v>
      </c>
      <c r="G6" s="11" t="n">
        <v>100</v>
      </c>
      <c r="H6" s="19" t="n">
        <f aca="false">(E6-D6)/D6</f>
        <v>-0.166666666666667</v>
      </c>
      <c r="I6" s="18" t="n">
        <f aca="false">F6/G6</f>
        <v>40.04</v>
      </c>
    </row>
    <row r="7" customFormat="false" ht="15" hidden="false" customHeight="false" outlineLevel="0" collapsed="false">
      <c r="B7" s="16" t="n">
        <v>46204</v>
      </c>
      <c r="C7" s="10" t="s">
        <v>42</v>
      </c>
      <c r="D7" s="12" t="n">
        <v>20</v>
      </c>
      <c r="E7" s="12" t="n">
        <v>17</v>
      </c>
      <c r="F7" s="11" t="n">
        <v>6468</v>
      </c>
      <c r="G7" s="11" t="n">
        <v>79</v>
      </c>
      <c r="H7" s="19" t="n">
        <f aca="false">(E7-D7)/D7</f>
        <v>-0.15</v>
      </c>
      <c r="I7" s="18" t="n">
        <f aca="false">F7/G7</f>
        <v>81.873417721519</v>
      </c>
    </row>
    <row r="8" customFormat="false" ht="15" hidden="false" customHeight="false" outlineLevel="0" collapsed="false">
      <c r="B8" s="16" t="n">
        <v>46209</v>
      </c>
      <c r="C8" s="10" t="s">
        <v>44</v>
      </c>
      <c r="D8" s="12" t="n">
        <v>20</v>
      </c>
      <c r="E8" s="12" t="n">
        <v>21</v>
      </c>
      <c r="F8" s="11" t="n">
        <v>5747</v>
      </c>
      <c r="G8" s="11" t="n">
        <v>85</v>
      </c>
      <c r="H8" s="19" t="n">
        <f aca="false">(E8-D8)/D8</f>
        <v>0.05</v>
      </c>
      <c r="I8" s="18" t="n">
        <f aca="false">F8/G8</f>
        <v>67.6117647058824</v>
      </c>
    </row>
    <row r="9" customFormat="false" ht="15" hidden="false" customHeight="false" outlineLevel="0" collapsed="false">
      <c r="B9" s="16" t="n">
        <v>46204</v>
      </c>
      <c r="C9" s="10" t="s">
        <v>42</v>
      </c>
      <c r="D9" s="12" t="n">
        <v>17</v>
      </c>
      <c r="E9" s="12" t="n">
        <v>15</v>
      </c>
      <c r="F9" s="11" t="n">
        <v>4918</v>
      </c>
      <c r="G9" s="11" t="n">
        <v>86</v>
      </c>
      <c r="H9" s="19" t="n">
        <f aca="false">(E9-D9)/D9</f>
        <v>-0.117647058823529</v>
      </c>
      <c r="I9" s="18" t="n">
        <f aca="false">F9/G9</f>
        <v>57.1860465116279</v>
      </c>
    </row>
    <row r="10" customFormat="false" ht="15" hidden="false" customHeight="false" outlineLevel="0" collapsed="false">
      <c r="B10" s="16" t="n">
        <v>46204</v>
      </c>
      <c r="C10" s="10" t="s">
        <v>45</v>
      </c>
      <c r="D10" s="12" t="n">
        <v>22</v>
      </c>
      <c r="E10" s="12" t="n">
        <v>22</v>
      </c>
      <c r="F10" s="11" t="n">
        <v>6444</v>
      </c>
      <c r="G10" s="11" t="n">
        <v>91</v>
      </c>
      <c r="H10" s="19" t="n">
        <f aca="false">(E10-D10)/D10</f>
        <v>0</v>
      </c>
      <c r="I10" s="18" t="n">
        <f aca="false">F10/G10</f>
        <v>70.8131868131868</v>
      </c>
    </row>
    <row r="11" customFormat="false" ht="15" hidden="false" customHeight="false" outlineLevel="0" collapsed="false">
      <c r="B11" s="16" t="n">
        <v>46210</v>
      </c>
      <c r="C11" s="10" t="s">
        <v>42</v>
      </c>
      <c r="D11" s="12" t="n">
        <v>15</v>
      </c>
      <c r="E11" s="12" t="n">
        <v>12</v>
      </c>
      <c r="F11" s="11" t="n">
        <v>6990</v>
      </c>
      <c r="G11" s="11" t="n">
        <v>96</v>
      </c>
      <c r="H11" s="19" t="n">
        <f aca="false">(E11-D11)/D11</f>
        <v>-0.2</v>
      </c>
      <c r="I11" s="18" t="n">
        <f aca="false">F11/G11</f>
        <v>72.8125</v>
      </c>
    </row>
    <row r="12" customFormat="false" ht="15" hidden="false" customHeight="false" outlineLevel="0" collapsed="false">
      <c r="B12" s="16" t="n">
        <v>46198</v>
      </c>
      <c r="C12" s="10" t="s">
        <v>44</v>
      </c>
      <c r="D12" s="12" t="n">
        <v>15</v>
      </c>
      <c r="E12" s="12" t="n">
        <v>16</v>
      </c>
      <c r="F12" s="11" t="n">
        <v>7195</v>
      </c>
      <c r="G12" s="11" t="n">
        <v>93</v>
      </c>
      <c r="H12" s="19" t="n">
        <f aca="false">(E12-D12)/D12</f>
        <v>0.0666666666666667</v>
      </c>
      <c r="I12" s="18" t="n">
        <f aca="false">F12/G12</f>
        <v>77.3655913978495</v>
      </c>
    </row>
    <row r="13" customFormat="false" ht="15" hidden="false" customHeight="false" outlineLevel="0" collapsed="false">
      <c r="B13" s="16" t="n">
        <v>46213</v>
      </c>
      <c r="C13" s="10" t="s">
        <v>46</v>
      </c>
      <c r="D13" s="12" t="n">
        <v>19</v>
      </c>
      <c r="E13" s="12" t="n">
        <v>17</v>
      </c>
      <c r="F13" s="11" t="n">
        <v>4176</v>
      </c>
      <c r="G13" s="11" t="n">
        <v>71</v>
      </c>
      <c r="H13" s="19" t="n">
        <f aca="false">(E13-D13)/D13</f>
        <v>-0.105263157894737</v>
      </c>
      <c r="I13" s="18" t="n">
        <f aca="false">F13/G13</f>
        <v>58.8169014084507</v>
      </c>
    </row>
    <row r="14" customFormat="false" ht="15" hidden="false" customHeight="false" outlineLevel="0" collapsed="false">
      <c r="B14" s="16" t="n">
        <v>46214</v>
      </c>
      <c r="C14" s="10" t="s">
        <v>42</v>
      </c>
      <c r="D14" s="12" t="n">
        <v>17</v>
      </c>
      <c r="E14" s="12" t="n">
        <v>16</v>
      </c>
      <c r="F14" s="11" t="n">
        <v>4382</v>
      </c>
      <c r="G14" s="11" t="n">
        <v>109</v>
      </c>
      <c r="H14" s="19" t="n">
        <f aca="false">(E14-D14)/D14</f>
        <v>-0.0588235294117647</v>
      </c>
      <c r="I14" s="18" t="n">
        <f aca="false">F14/G14</f>
        <v>40.2018348623853</v>
      </c>
    </row>
    <row r="15" customFormat="false" ht="15" hidden="false" customHeight="false" outlineLevel="0" collapsed="false">
      <c r="B15" s="16" t="n">
        <v>46219</v>
      </c>
      <c r="C15" s="10" t="s">
        <v>45</v>
      </c>
      <c r="D15" s="12" t="n">
        <v>15</v>
      </c>
      <c r="E15" s="12" t="n">
        <v>13</v>
      </c>
      <c r="F15" s="11" t="n">
        <v>3542</v>
      </c>
      <c r="G15" s="11" t="n">
        <v>95</v>
      </c>
      <c r="H15" s="19" t="n">
        <f aca="false">(E15-D15)/D15</f>
        <v>-0.133333333333333</v>
      </c>
      <c r="I15" s="18" t="n">
        <f aca="false">F15/G15</f>
        <v>37.2842105263158</v>
      </c>
    </row>
    <row r="16" customFormat="false" ht="15" hidden="false" customHeight="false" outlineLevel="0" collapsed="false">
      <c r="B16" s="16" t="n">
        <v>46217</v>
      </c>
      <c r="C16" s="10" t="s">
        <v>44</v>
      </c>
      <c r="D16" s="12" t="n">
        <v>20</v>
      </c>
      <c r="E16" s="12" t="n">
        <v>17</v>
      </c>
      <c r="F16" s="11" t="n">
        <v>4182</v>
      </c>
      <c r="G16" s="11" t="n">
        <v>91</v>
      </c>
      <c r="H16" s="19" t="n">
        <f aca="false">(E16-D16)/D16</f>
        <v>-0.15</v>
      </c>
      <c r="I16" s="18" t="n">
        <f aca="false">F16/G16</f>
        <v>45.956043956044</v>
      </c>
    </row>
    <row r="17" customFormat="false" ht="15" hidden="false" customHeight="false" outlineLevel="0" collapsed="false">
      <c r="B17" s="16" t="n">
        <v>46204</v>
      </c>
      <c r="C17" s="10" t="s">
        <v>45</v>
      </c>
      <c r="D17" s="12" t="n">
        <v>18</v>
      </c>
      <c r="E17" s="12" t="n">
        <v>15</v>
      </c>
      <c r="F17" s="11" t="n">
        <v>6616</v>
      </c>
      <c r="G17" s="11" t="n">
        <v>75</v>
      </c>
      <c r="H17" s="19" t="n">
        <f aca="false">(E17-D17)/D17</f>
        <v>-0.166666666666667</v>
      </c>
      <c r="I17" s="18" t="n">
        <f aca="false">F17/G17</f>
        <v>88.2133333333333</v>
      </c>
    </row>
    <row r="18" customFormat="false" ht="15" hidden="false" customHeight="false" outlineLevel="0" collapsed="false">
      <c r="B18" s="16" t="n">
        <v>46207</v>
      </c>
      <c r="C18" s="10" t="s">
        <v>43</v>
      </c>
      <c r="D18" s="12" t="n">
        <v>12</v>
      </c>
      <c r="E18" s="12" t="n">
        <v>9</v>
      </c>
      <c r="F18" s="11" t="n">
        <v>6694</v>
      </c>
      <c r="G18" s="11" t="n">
        <v>80</v>
      </c>
      <c r="H18" s="19" t="n">
        <f aca="false">(E18-D18)/D18</f>
        <v>-0.25</v>
      </c>
      <c r="I18" s="18" t="n">
        <f aca="false">F18/G18</f>
        <v>83.675</v>
      </c>
    </row>
    <row r="19" customFormat="false" ht="15" hidden="false" customHeight="false" outlineLevel="0" collapsed="false">
      <c r="B19" s="16" t="n">
        <v>46206</v>
      </c>
      <c r="C19" s="10" t="s">
        <v>43</v>
      </c>
      <c r="D19" s="12" t="n">
        <v>13</v>
      </c>
      <c r="E19" s="12" t="n">
        <v>11</v>
      </c>
      <c r="F19" s="11" t="n">
        <v>4334</v>
      </c>
      <c r="G19" s="11" t="n">
        <v>87</v>
      </c>
      <c r="H19" s="19" t="n">
        <f aca="false">(E19-D19)/D19</f>
        <v>-0.153846153846154</v>
      </c>
      <c r="I19" s="18" t="n">
        <f aca="false">F19/G19</f>
        <v>49.816091954023</v>
      </c>
    </row>
    <row r="20" customFormat="false" ht="15" hidden="false" customHeight="false" outlineLevel="0" collapsed="false">
      <c r="B20" s="16" t="n">
        <v>46202</v>
      </c>
      <c r="C20" s="10" t="s">
        <v>46</v>
      </c>
      <c r="D20" s="12" t="n">
        <v>22</v>
      </c>
      <c r="E20" s="12" t="n">
        <v>19</v>
      </c>
      <c r="F20" s="11" t="n">
        <v>5137</v>
      </c>
      <c r="G20" s="11" t="n">
        <v>82</v>
      </c>
      <c r="H20" s="19" t="n">
        <f aca="false">(E20-D20)/D20</f>
        <v>-0.136363636363636</v>
      </c>
      <c r="I20" s="18" t="n">
        <f aca="false">F20/G20</f>
        <v>62.6463414634146</v>
      </c>
    </row>
    <row r="21" customFormat="false" ht="15" hidden="false" customHeight="false" outlineLevel="0" collapsed="false">
      <c r="B21" s="16" t="n">
        <v>46199</v>
      </c>
      <c r="C21" s="10" t="s">
        <v>44</v>
      </c>
      <c r="D21" s="12" t="n">
        <v>22</v>
      </c>
      <c r="E21" s="12" t="n">
        <v>21</v>
      </c>
      <c r="F21" s="11" t="n">
        <v>7122</v>
      </c>
      <c r="G21" s="11" t="n">
        <v>101</v>
      </c>
      <c r="H21" s="19" t="n">
        <f aca="false">(E21-D21)/D21</f>
        <v>-0.0454545454545455</v>
      </c>
      <c r="I21" s="18" t="n">
        <f aca="false">F21/G21</f>
        <v>70.5148514851485</v>
      </c>
    </row>
    <row r="22" customFormat="false" ht="15" hidden="false" customHeight="false" outlineLevel="0" collapsed="false">
      <c r="B22" s="16" t="n">
        <v>46206</v>
      </c>
      <c r="C22" s="10" t="s">
        <v>43</v>
      </c>
      <c r="D22" s="12" t="n">
        <v>19</v>
      </c>
      <c r="E22" s="12" t="n">
        <v>16</v>
      </c>
      <c r="F22" s="11" t="n">
        <v>7151</v>
      </c>
      <c r="G22" s="11" t="n">
        <v>86</v>
      </c>
      <c r="H22" s="19" t="n">
        <f aca="false">(E22-D22)/D22</f>
        <v>-0.157894736842105</v>
      </c>
      <c r="I22" s="18" t="n">
        <f aca="false">F22/G22</f>
        <v>83.1511627906977</v>
      </c>
    </row>
    <row r="23" customFormat="false" ht="15" hidden="false" customHeight="false" outlineLevel="0" collapsed="false">
      <c r="B23" s="16" t="n">
        <v>46209</v>
      </c>
      <c r="C23" s="10" t="s">
        <v>46</v>
      </c>
      <c r="D23" s="12" t="n">
        <v>14</v>
      </c>
      <c r="E23" s="12" t="n">
        <v>11</v>
      </c>
      <c r="F23" s="11" t="n">
        <v>6123</v>
      </c>
      <c r="G23" s="11" t="n">
        <v>73</v>
      </c>
      <c r="H23" s="19" t="n">
        <f aca="false">(E23-D23)/D23</f>
        <v>-0.214285714285714</v>
      </c>
      <c r="I23" s="18" t="n">
        <f aca="false">F23/G23</f>
        <v>83.8767123287671</v>
      </c>
    </row>
    <row r="24" customFormat="false" ht="15" hidden="false" customHeight="false" outlineLevel="0" collapsed="false">
      <c r="B24" s="16" t="n">
        <v>46200</v>
      </c>
      <c r="C24" s="10" t="s">
        <v>45</v>
      </c>
      <c r="D24" s="12" t="n">
        <v>19</v>
      </c>
      <c r="E24" s="12" t="n">
        <v>21</v>
      </c>
      <c r="F24" s="11" t="n">
        <v>4572</v>
      </c>
      <c r="G24" s="11" t="n">
        <v>91</v>
      </c>
      <c r="H24" s="19" t="n">
        <f aca="false">(E24-D24)/D24</f>
        <v>0.105263157894737</v>
      </c>
      <c r="I24" s="18" t="n">
        <f aca="false">F24/G24</f>
        <v>50.2417582417582</v>
      </c>
    </row>
    <row r="25" customFormat="false" ht="15" hidden="false" customHeight="false" outlineLevel="0" collapsed="false">
      <c r="B25" s="16" t="n">
        <v>46215</v>
      </c>
      <c r="C25" s="10" t="s">
        <v>46</v>
      </c>
      <c r="D25" s="12" t="n">
        <v>17</v>
      </c>
      <c r="E25" s="12" t="n">
        <v>16</v>
      </c>
      <c r="F25" s="11" t="n">
        <v>6219</v>
      </c>
      <c r="G25" s="11" t="n">
        <v>90</v>
      </c>
      <c r="H25" s="19" t="n">
        <f aca="false">(E25-D25)/D25</f>
        <v>-0.0588235294117647</v>
      </c>
      <c r="I25" s="18" t="n">
        <f aca="false">F25/G25</f>
        <v>69.1</v>
      </c>
    </row>
    <row r="26" customFormat="false" ht="15" hidden="false" customHeight="false" outlineLevel="0" collapsed="false">
      <c r="B26" s="16" t="n">
        <v>46212</v>
      </c>
      <c r="C26" s="10" t="s">
        <v>44</v>
      </c>
      <c r="D26" s="12" t="n">
        <v>16</v>
      </c>
      <c r="E26" s="12" t="n">
        <v>13</v>
      </c>
      <c r="F26" s="11" t="n">
        <v>3972</v>
      </c>
      <c r="G26" s="11" t="n">
        <v>81</v>
      </c>
      <c r="H26" s="19" t="n">
        <f aca="false">(E26-D26)/D26</f>
        <v>-0.1875</v>
      </c>
      <c r="I26" s="18" t="n">
        <f aca="false">F26/G26</f>
        <v>49.037037037037</v>
      </c>
    </row>
    <row r="27" customFormat="false" ht="15" hidden="false" customHeight="false" outlineLevel="0" collapsed="false">
      <c r="B27" s="16" t="n">
        <v>46209</v>
      </c>
      <c r="C27" s="10" t="s">
        <v>46</v>
      </c>
      <c r="D27" s="12" t="n">
        <v>17</v>
      </c>
      <c r="E27" s="12" t="n">
        <v>15</v>
      </c>
      <c r="F27" s="11" t="n">
        <v>6586</v>
      </c>
      <c r="G27" s="11" t="n">
        <v>99</v>
      </c>
      <c r="H27" s="19" t="n">
        <f aca="false">(E27-D27)/D27</f>
        <v>-0.117647058823529</v>
      </c>
      <c r="I27" s="18" t="n">
        <f aca="false">F27/G27</f>
        <v>66.5252525252525</v>
      </c>
    </row>
    <row r="28" customFormat="false" ht="15" hidden="false" customHeight="false" outlineLevel="0" collapsed="false">
      <c r="B28" s="16" t="n">
        <v>46215</v>
      </c>
      <c r="C28" s="10" t="s">
        <v>42</v>
      </c>
      <c r="D28" s="12" t="n">
        <v>18</v>
      </c>
      <c r="E28" s="12" t="n">
        <v>15</v>
      </c>
      <c r="F28" s="11" t="n">
        <v>4604</v>
      </c>
      <c r="G28" s="11" t="n">
        <v>96</v>
      </c>
      <c r="H28" s="19" t="n">
        <f aca="false">(E28-D28)/D28</f>
        <v>-0.166666666666667</v>
      </c>
      <c r="I28" s="18" t="n">
        <f aca="false">F28/G28</f>
        <v>47.9583333333333</v>
      </c>
    </row>
    <row r="29" customFormat="false" ht="15" hidden="false" customHeight="false" outlineLevel="0" collapsed="false">
      <c r="B29" s="16" t="n">
        <v>46195</v>
      </c>
      <c r="C29" s="10" t="s">
        <v>42</v>
      </c>
      <c r="D29" s="12" t="n">
        <v>15</v>
      </c>
      <c r="E29" s="12" t="n">
        <v>12</v>
      </c>
      <c r="F29" s="11" t="n">
        <v>5032</v>
      </c>
      <c r="G29" s="11" t="n">
        <v>100</v>
      </c>
      <c r="H29" s="19" t="n">
        <f aca="false">(E29-D29)/D29</f>
        <v>-0.2</v>
      </c>
      <c r="I29" s="18" t="n">
        <f aca="false">F29/G29</f>
        <v>50.32</v>
      </c>
    </row>
    <row r="30" customFormat="false" ht="15" hidden="false" customHeight="false" outlineLevel="0" collapsed="false">
      <c r="B30" s="16" t="n">
        <v>46208</v>
      </c>
      <c r="C30" s="10" t="s">
        <v>46</v>
      </c>
      <c r="D30" s="12" t="n">
        <v>13</v>
      </c>
      <c r="E30" s="12" t="n">
        <v>15</v>
      </c>
      <c r="F30" s="11" t="n">
        <v>5439</v>
      </c>
      <c r="G30" s="11" t="n">
        <v>79</v>
      </c>
      <c r="H30" s="19" t="n">
        <f aca="false">(E30-D30)/D30</f>
        <v>0.153846153846154</v>
      </c>
      <c r="I30" s="18" t="n">
        <f aca="false">F30/G30</f>
        <v>68.8481012658228</v>
      </c>
    </row>
    <row r="31" customFormat="false" ht="15" hidden="false" customHeight="false" outlineLevel="0" collapsed="false">
      <c r="B31" s="16" t="n">
        <v>46201</v>
      </c>
      <c r="C31" s="10" t="s">
        <v>43</v>
      </c>
      <c r="D31" s="12" t="n">
        <v>15</v>
      </c>
      <c r="E31" s="12" t="n">
        <v>12</v>
      </c>
      <c r="F31" s="11" t="n">
        <v>5525</v>
      </c>
      <c r="G31" s="11" t="n">
        <v>95</v>
      </c>
      <c r="H31" s="19" t="n">
        <f aca="false">(E31-D31)/D31</f>
        <v>-0.2</v>
      </c>
      <c r="I31" s="18" t="n">
        <f aca="false">F31/G31</f>
        <v>58.1578947368421</v>
      </c>
    </row>
    <row r="32" customFormat="false" ht="15" hidden="false" customHeight="false" outlineLevel="0" collapsed="false">
      <c r="B32" s="16" t="n">
        <v>46214</v>
      </c>
      <c r="C32" s="10" t="s">
        <v>42</v>
      </c>
      <c r="D32" s="12" t="n">
        <v>18</v>
      </c>
      <c r="E32" s="12" t="n">
        <v>16</v>
      </c>
      <c r="F32" s="11" t="n">
        <v>6655</v>
      </c>
      <c r="G32" s="11" t="n">
        <v>107</v>
      </c>
      <c r="H32" s="19" t="n">
        <f aca="false">(E32-D32)/D32</f>
        <v>-0.111111111111111</v>
      </c>
      <c r="I32" s="18" t="n">
        <f aca="false">F32/G32</f>
        <v>62.196261682243</v>
      </c>
    </row>
    <row r="33" customFormat="false" ht="15" hidden="false" customHeight="false" outlineLevel="0" collapsed="false">
      <c r="B33" s="16" t="n">
        <v>46208</v>
      </c>
      <c r="C33" s="10" t="s">
        <v>45</v>
      </c>
      <c r="D33" s="12" t="n">
        <v>15</v>
      </c>
      <c r="E33" s="12" t="n">
        <v>13</v>
      </c>
      <c r="F33" s="11" t="n">
        <v>3629</v>
      </c>
      <c r="G33" s="11" t="n">
        <v>79</v>
      </c>
      <c r="H33" s="19" t="n">
        <f aca="false">(E33-D33)/D33</f>
        <v>-0.133333333333333</v>
      </c>
      <c r="I33" s="18" t="n">
        <f aca="false">F33/G33</f>
        <v>45.9367088607595</v>
      </c>
    </row>
    <row r="34" customFormat="false" ht="15" hidden="false" customHeight="false" outlineLevel="0" collapsed="false">
      <c r="B34" s="16" t="n">
        <v>46197</v>
      </c>
      <c r="C34" s="10" t="s">
        <v>42</v>
      </c>
      <c r="D34" s="12" t="n">
        <v>17</v>
      </c>
      <c r="E34" s="12" t="n">
        <v>14</v>
      </c>
      <c r="F34" s="11" t="n">
        <v>6232</v>
      </c>
      <c r="G34" s="11" t="n">
        <v>101</v>
      </c>
      <c r="H34" s="19" t="n">
        <f aca="false">(E34-D34)/D34</f>
        <v>-0.176470588235294</v>
      </c>
      <c r="I34" s="18" t="n">
        <f aca="false">F34/G34</f>
        <v>61.7029702970297</v>
      </c>
    </row>
    <row r="35" customFormat="false" ht="15" hidden="false" customHeight="false" outlineLevel="0" collapsed="false">
      <c r="B35" s="16" t="n">
        <v>46217</v>
      </c>
      <c r="C35" s="10" t="s">
        <v>46</v>
      </c>
      <c r="D35" s="12" t="n">
        <v>17</v>
      </c>
      <c r="E35" s="12" t="n">
        <v>18</v>
      </c>
      <c r="F35" s="11" t="n">
        <v>6964</v>
      </c>
      <c r="G35" s="11" t="n">
        <v>85</v>
      </c>
      <c r="H35" s="19" t="n">
        <f aca="false">(E35-D35)/D35</f>
        <v>0.0588235294117647</v>
      </c>
      <c r="I35" s="18" t="n">
        <f aca="false">F35/G35</f>
        <v>81.9294117647059</v>
      </c>
    </row>
    <row r="36" customFormat="false" ht="15" hidden="false" customHeight="false" outlineLevel="0" collapsed="false">
      <c r="B36" s="16" t="n">
        <v>46202</v>
      </c>
      <c r="C36" s="10" t="s">
        <v>45</v>
      </c>
      <c r="D36" s="12" t="n">
        <v>21</v>
      </c>
      <c r="E36" s="12" t="n">
        <v>19</v>
      </c>
      <c r="F36" s="11" t="n">
        <v>6332</v>
      </c>
      <c r="G36" s="11" t="n">
        <v>85</v>
      </c>
      <c r="H36" s="19" t="n">
        <f aca="false">(E36-D36)/D36</f>
        <v>-0.0952380952380952</v>
      </c>
      <c r="I36" s="18" t="n">
        <f aca="false">F36/G36</f>
        <v>74.4941176470588</v>
      </c>
    </row>
    <row r="37" customFormat="false" ht="15" hidden="false" customHeight="false" outlineLevel="0" collapsed="false">
      <c r="B37" s="16" t="n">
        <v>46214</v>
      </c>
      <c r="C37" s="10" t="s">
        <v>44</v>
      </c>
      <c r="D37" s="12" t="n">
        <v>17</v>
      </c>
      <c r="E37" s="12" t="n">
        <v>19</v>
      </c>
      <c r="F37" s="11" t="n">
        <v>4097</v>
      </c>
      <c r="G37" s="11" t="n">
        <v>82</v>
      </c>
      <c r="H37" s="19" t="n">
        <f aca="false">(E37-D37)/D37</f>
        <v>0.117647058823529</v>
      </c>
      <c r="I37" s="18" t="n">
        <f aca="false">F37/G37</f>
        <v>49.9634146341463</v>
      </c>
    </row>
    <row r="38" customFormat="false" ht="15" hidden="false" customHeight="false" outlineLevel="0" collapsed="false">
      <c r="B38" s="16" t="n">
        <v>46196</v>
      </c>
      <c r="C38" s="10" t="s">
        <v>46</v>
      </c>
      <c r="D38" s="12" t="n">
        <v>12</v>
      </c>
      <c r="E38" s="12" t="n">
        <v>10</v>
      </c>
      <c r="F38" s="11" t="n">
        <v>6445</v>
      </c>
      <c r="G38" s="11" t="n">
        <v>110</v>
      </c>
      <c r="H38" s="19" t="n">
        <f aca="false">(E38-D38)/D38</f>
        <v>-0.166666666666667</v>
      </c>
      <c r="I38" s="18" t="n">
        <f aca="false">F38/G38</f>
        <v>58.5909090909091</v>
      </c>
    </row>
    <row r="39" customFormat="false" ht="15" hidden="false" customHeight="false" outlineLevel="0" collapsed="false">
      <c r="B39" s="16" t="n">
        <v>46207</v>
      </c>
      <c r="C39" s="10" t="s">
        <v>43</v>
      </c>
      <c r="D39" s="12" t="n">
        <v>18</v>
      </c>
      <c r="E39" s="12" t="n">
        <v>16</v>
      </c>
      <c r="F39" s="11" t="n">
        <v>6455</v>
      </c>
      <c r="G39" s="11" t="n">
        <v>86</v>
      </c>
      <c r="H39" s="19" t="n">
        <f aca="false">(E39-D39)/D39</f>
        <v>-0.111111111111111</v>
      </c>
      <c r="I39" s="18" t="n">
        <f aca="false">F39/G39</f>
        <v>75.0581395348837</v>
      </c>
    </row>
    <row r="40" customFormat="false" ht="15" hidden="false" customHeight="false" outlineLevel="0" collapsed="false">
      <c r="B40" s="16" t="n">
        <v>46216</v>
      </c>
      <c r="C40" s="10" t="s">
        <v>45</v>
      </c>
      <c r="D40" s="12" t="n">
        <v>16</v>
      </c>
      <c r="E40" s="12" t="n">
        <v>14</v>
      </c>
      <c r="F40" s="11" t="n">
        <v>6753</v>
      </c>
      <c r="G40" s="11" t="n">
        <v>109</v>
      </c>
      <c r="H40" s="19" t="n">
        <f aca="false">(E40-D40)/D40</f>
        <v>-0.125</v>
      </c>
      <c r="I40" s="18" t="n">
        <f aca="false">F40/G40</f>
        <v>61.954128440367</v>
      </c>
    </row>
    <row r="41" customFormat="false" ht="15" hidden="false" customHeight="false" outlineLevel="0" collapsed="false">
      <c r="B41" s="16" t="n">
        <v>46199</v>
      </c>
      <c r="C41" s="10" t="s">
        <v>42</v>
      </c>
      <c r="D41" s="12" t="n">
        <v>13</v>
      </c>
      <c r="E41" s="12" t="n">
        <v>10</v>
      </c>
      <c r="F41" s="11" t="n">
        <v>7160</v>
      </c>
      <c r="G41" s="11" t="n">
        <v>78</v>
      </c>
      <c r="H41" s="19" t="n">
        <f aca="false">(E41-D41)/D41</f>
        <v>-0.230769230769231</v>
      </c>
      <c r="I41" s="18" t="n">
        <f aca="false">F41/G41</f>
        <v>91.7948717948718</v>
      </c>
    </row>
    <row r="42" customFormat="false" ht="15" hidden="false" customHeight="false" outlineLevel="0" collapsed="false">
      <c r="B42" s="16" t="n">
        <v>46218</v>
      </c>
      <c r="C42" s="10" t="s">
        <v>45</v>
      </c>
      <c r="D42" s="12" t="n">
        <v>19</v>
      </c>
      <c r="E42" s="12" t="n">
        <v>21</v>
      </c>
      <c r="F42" s="11" t="n">
        <v>6373</v>
      </c>
      <c r="G42" s="11" t="n">
        <v>97</v>
      </c>
      <c r="H42" s="19" t="n">
        <f aca="false">(E42-D42)/D42</f>
        <v>0.105263157894737</v>
      </c>
      <c r="I42" s="18" t="n">
        <f aca="false">F42/G42</f>
        <v>65.7010309278351</v>
      </c>
    </row>
    <row r="43" customFormat="false" ht="15" hidden="false" customHeight="false" outlineLevel="0" collapsed="false">
      <c r="B43" s="16" t="n">
        <v>46219</v>
      </c>
      <c r="C43" s="10" t="s">
        <v>46</v>
      </c>
      <c r="D43" s="12" t="n">
        <v>22</v>
      </c>
      <c r="E43" s="12" t="n">
        <v>22</v>
      </c>
      <c r="F43" s="11" t="n">
        <v>5059</v>
      </c>
      <c r="G43" s="11" t="n">
        <v>97</v>
      </c>
      <c r="H43" s="19" t="n">
        <f aca="false">(E43-D43)/D43</f>
        <v>0</v>
      </c>
      <c r="I43" s="18" t="n">
        <f aca="false">F43/G43</f>
        <v>52.1546391752577</v>
      </c>
    </row>
    <row r="44" customFormat="false" ht="15" hidden="false" customHeight="false" outlineLevel="0" collapsed="false">
      <c r="B44" s="16" t="n">
        <v>46200</v>
      </c>
      <c r="C44" s="10" t="s">
        <v>44</v>
      </c>
      <c r="D44" s="12" t="n">
        <v>14</v>
      </c>
      <c r="E44" s="12" t="n">
        <v>15</v>
      </c>
      <c r="F44" s="11" t="n">
        <v>5082</v>
      </c>
      <c r="G44" s="11" t="n">
        <v>72</v>
      </c>
      <c r="H44" s="19" t="n">
        <f aca="false">(E44-D44)/D44</f>
        <v>0.0714285714285714</v>
      </c>
      <c r="I44" s="18" t="n">
        <f aca="false">F44/G44</f>
        <v>70.5833333333333</v>
      </c>
    </row>
    <row r="45" customFormat="false" ht="15" hidden="false" customHeight="false" outlineLevel="0" collapsed="false">
      <c r="B45" s="16" t="n">
        <v>46200</v>
      </c>
      <c r="C45" s="10" t="s">
        <v>42</v>
      </c>
      <c r="D45" s="12" t="n">
        <v>13</v>
      </c>
      <c r="E45" s="12" t="n">
        <v>11</v>
      </c>
      <c r="F45" s="11" t="n">
        <v>5361</v>
      </c>
      <c r="G45" s="11" t="n">
        <v>74</v>
      </c>
      <c r="H45" s="19" t="n">
        <f aca="false">(E45-D45)/D45</f>
        <v>-0.153846153846154</v>
      </c>
      <c r="I45" s="18" t="n">
        <f aca="false">F45/G45</f>
        <v>72.445945945946</v>
      </c>
    </row>
    <row r="46" customFormat="false" ht="15" hidden="false" customHeight="false" outlineLevel="0" collapsed="false">
      <c r="B46" s="16" t="n">
        <v>46223</v>
      </c>
      <c r="C46" s="10" t="s">
        <v>43</v>
      </c>
      <c r="D46" s="12" t="n">
        <v>13</v>
      </c>
      <c r="E46" s="12" t="n">
        <v>15</v>
      </c>
      <c r="F46" s="11" t="n">
        <v>4842</v>
      </c>
      <c r="G46" s="11" t="n">
        <v>74</v>
      </c>
      <c r="H46" s="19" t="n">
        <f aca="false">(E46-D46)/D46</f>
        <v>0.153846153846154</v>
      </c>
      <c r="I46" s="18" t="n">
        <f aca="false">F46/G46</f>
        <v>65.4324324324324</v>
      </c>
    </row>
    <row r="47" customFormat="false" ht="15" hidden="false" customHeight="false" outlineLevel="0" collapsed="false">
      <c r="B47" s="16" t="n">
        <v>46206</v>
      </c>
      <c r="C47" s="10" t="s">
        <v>46</v>
      </c>
      <c r="D47" s="12" t="n">
        <v>16</v>
      </c>
      <c r="E47" s="12" t="n">
        <v>18</v>
      </c>
      <c r="F47" s="11" t="n">
        <v>5326</v>
      </c>
      <c r="G47" s="11" t="n">
        <v>105</v>
      </c>
      <c r="H47" s="19" t="n">
        <f aca="false">(E47-D47)/D47</f>
        <v>0.125</v>
      </c>
      <c r="I47" s="18" t="n">
        <f aca="false">F47/G47</f>
        <v>50.7238095238095</v>
      </c>
    </row>
  </sheetData>
  <autoFilter ref="B2:I47"/>
  <conditionalFormatting sqref="H3:H47">
    <cfRule type="cellIs" priority="2" operator="lessThan" aboveAverage="0" equalAverage="0" bottom="0" percent="0" rank="0" text="" dxfId="91">
      <formula>-0.05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2" customFormat="false" ht="15" hidden="false" customHeight="false" outlineLevel="0" collapsed="false">
      <c r="B2" s="15" t="s">
        <v>47</v>
      </c>
      <c r="C2" s="15" t="s">
        <v>48</v>
      </c>
      <c r="D2" s="15" t="s">
        <v>49</v>
      </c>
      <c r="E2" s="15" t="s">
        <v>50</v>
      </c>
      <c r="F2" s="15" t="s">
        <v>51</v>
      </c>
      <c r="G2" s="15" t="s">
        <v>52</v>
      </c>
      <c r="H2" s="15" t="s">
        <v>53</v>
      </c>
    </row>
    <row r="3" customFormat="false" ht="15" hidden="false" customHeight="false" outlineLevel="0" collapsed="false">
      <c r="B3" s="10" t="s">
        <v>54</v>
      </c>
      <c r="C3" s="16" t="n">
        <v>46198</v>
      </c>
      <c r="D3" s="10" t="s">
        <v>25</v>
      </c>
      <c r="E3" s="10" t="s">
        <v>55</v>
      </c>
      <c r="F3" s="10" t="s">
        <v>56</v>
      </c>
      <c r="G3" s="10" t="s">
        <v>57</v>
      </c>
      <c r="H3" s="22" t="n">
        <f aca="false">IF(F3="Resolved",0,DATE(2026,7,21)-C3)</f>
        <v>0</v>
      </c>
    </row>
    <row r="4" customFormat="false" ht="15" hidden="false" customHeight="false" outlineLevel="0" collapsed="false">
      <c r="B4" s="10" t="s">
        <v>58</v>
      </c>
      <c r="C4" s="16" t="n">
        <v>46207</v>
      </c>
      <c r="D4" s="10" t="s">
        <v>18</v>
      </c>
      <c r="E4" s="10" t="s">
        <v>59</v>
      </c>
      <c r="F4" s="10" t="s">
        <v>60</v>
      </c>
      <c r="G4" s="10" t="s">
        <v>61</v>
      </c>
      <c r="H4" s="22" t="n">
        <f aca="false">IF(F4="Resolved",0,DATE(2026,7,21)-C4)</f>
        <v>17</v>
      </c>
    </row>
    <row r="5" customFormat="false" ht="15" hidden="false" customHeight="false" outlineLevel="0" collapsed="false">
      <c r="B5" s="10" t="s">
        <v>62</v>
      </c>
      <c r="C5" s="16" t="n">
        <v>46195</v>
      </c>
      <c r="D5" s="10" t="s">
        <v>24</v>
      </c>
      <c r="E5" s="10" t="s">
        <v>63</v>
      </c>
      <c r="F5" s="10" t="s">
        <v>56</v>
      </c>
      <c r="G5" s="10" t="s">
        <v>61</v>
      </c>
      <c r="H5" s="22" t="n">
        <f aca="false">IF(F5="Resolved",0,DATE(2026,7,21)-C5)</f>
        <v>0</v>
      </c>
    </row>
    <row r="6" customFormat="false" ht="15" hidden="false" customHeight="false" outlineLevel="0" collapsed="false">
      <c r="B6" s="10" t="s">
        <v>64</v>
      </c>
      <c r="C6" s="16" t="n">
        <v>46202</v>
      </c>
      <c r="D6" s="10" t="s">
        <v>16</v>
      </c>
      <c r="E6" s="10" t="s">
        <v>55</v>
      </c>
      <c r="F6" s="10" t="s">
        <v>56</v>
      </c>
      <c r="G6" s="10" t="s">
        <v>61</v>
      </c>
      <c r="H6" s="22" t="n">
        <f aca="false">IF(F6="Resolved",0,DATE(2026,7,21)-C6)</f>
        <v>0</v>
      </c>
    </row>
    <row r="7" customFormat="false" ht="15" hidden="false" customHeight="false" outlineLevel="0" collapsed="false">
      <c r="B7" s="10" t="s">
        <v>65</v>
      </c>
      <c r="C7" s="16" t="n">
        <v>46211</v>
      </c>
      <c r="D7" s="10" t="s">
        <v>24</v>
      </c>
      <c r="E7" s="10" t="s">
        <v>59</v>
      </c>
      <c r="F7" s="10" t="s">
        <v>66</v>
      </c>
      <c r="G7" s="10" t="s">
        <v>67</v>
      </c>
      <c r="H7" s="22" t="n">
        <f aca="false">IF(F7="Resolved",0,DATE(2026,7,21)-C7)</f>
        <v>13</v>
      </c>
    </row>
    <row r="8" customFormat="false" ht="15" hidden="false" customHeight="false" outlineLevel="0" collapsed="false">
      <c r="B8" s="10" t="s">
        <v>68</v>
      </c>
      <c r="C8" s="16" t="n">
        <v>46224</v>
      </c>
      <c r="D8" s="10" t="s">
        <v>18</v>
      </c>
      <c r="E8" s="10" t="s">
        <v>59</v>
      </c>
      <c r="F8" s="10" t="s">
        <v>56</v>
      </c>
      <c r="G8" s="10" t="s">
        <v>67</v>
      </c>
      <c r="H8" s="22" t="n">
        <f aca="false">IF(F8="Resolved",0,DATE(2026,7,21)-C8)</f>
        <v>0</v>
      </c>
    </row>
    <row r="9" customFormat="false" ht="15" hidden="false" customHeight="false" outlineLevel="0" collapsed="false">
      <c r="B9" s="10" t="s">
        <v>69</v>
      </c>
      <c r="C9" s="16" t="n">
        <v>46192</v>
      </c>
      <c r="D9" s="10" t="s">
        <v>14</v>
      </c>
      <c r="E9" s="10" t="s">
        <v>59</v>
      </c>
      <c r="F9" s="10" t="s">
        <v>66</v>
      </c>
      <c r="G9" s="10" t="s">
        <v>61</v>
      </c>
      <c r="H9" s="22" t="n">
        <f aca="false">IF(F9="Resolved",0,DATE(2026,7,21)-C9)</f>
        <v>32</v>
      </c>
    </row>
    <row r="10" customFormat="false" ht="15" hidden="false" customHeight="false" outlineLevel="0" collapsed="false">
      <c r="B10" s="10" t="s">
        <v>70</v>
      </c>
      <c r="C10" s="16" t="n">
        <v>46188</v>
      </c>
      <c r="D10" s="10" t="s">
        <v>24</v>
      </c>
      <c r="E10" s="10" t="s">
        <v>55</v>
      </c>
      <c r="F10" s="10" t="s">
        <v>56</v>
      </c>
      <c r="G10" s="10" t="s">
        <v>61</v>
      </c>
      <c r="H10" s="22" t="n">
        <f aca="false">IF(F10="Resolved",0,DATE(2026,7,21)-C10)</f>
        <v>0</v>
      </c>
    </row>
    <row r="11" customFormat="false" ht="15" hidden="false" customHeight="false" outlineLevel="0" collapsed="false">
      <c r="B11" s="10" t="s">
        <v>71</v>
      </c>
      <c r="C11" s="16" t="n">
        <v>46185</v>
      </c>
      <c r="D11" s="10" t="s">
        <v>24</v>
      </c>
      <c r="E11" s="10" t="s">
        <v>59</v>
      </c>
      <c r="F11" s="10" t="s">
        <v>56</v>
      </c>
      <c r="G11" s="10" t="s">
        <v>57</v>
      </c>
      <c r="H11" s="22" t="n">
        <f aca="false">IF(F11="Resolved",0,DATE(2026,7,21)-C11)</f>
        <v>0</v>
      </c>
    </row>
    <row r="12" customFormat="false" ht="15" hidden="false" customHeight="false" outlineLevel="0" collapsed="false">
      <c r="B12" s="10" t="s">
        <v>72</v>
      </c>
      <c r="C12" s="16" t="n">
        <v>46213</v>
      </c>
      <c r="D12" s="10" t="s">
        <v>24</v>
      </c>
      <c r="E12" s="10" t="s">
        <v>59</v>
      </c>
      <c r="F12" s="10" t="s">
        <v>66</v>
      </c>
      <c r="G12" s="10" t="s">
        <v>67</v>
      </c>
      <c r="H12" s="22" t="n">
        <f aca="false">IF(F12="Resolved",0,DATE(2026,7,21)-C12)</f>
        <v>11</v>
      </c>
    </row>
    <row r="13" customFormat="false" ht="15" hidden="false" customHeight="false" outlineLevel="0" collapsed="false">
      <c r="B13" s="10" t="s">
        <v>73</v>
      </c>
      <c r="C13" s="16" t="n">
        <v>46199</v>
      </c>
      <c r="D13" s="10" t="s">
        <v>20</v>
      </c>
      <c r="E13" s="10" t="s">
        <v>74</v>
      </c>
      <c r="F13" s="10" t="s">
        <v>56</v>
      </c>
      <c r="G13" s="10" t="s">
        <v>57</v>
      </c>
      <c r="H13" s="22" t="n">
        <f aca="false">IF(F13="Resolved",0,DATE(2026,7,21)-C13)</f>
        <v>0</v>
      </c>
    </row>
    <row r="14" customFormat="false" ht="15" hidden="false" customHeight="false" outlineLevel="0" collapsed="false">
      <c r="B14" s="10" t="s">
        <v>75</v>
      </c>
      <c r="C14" s="16" t="n">
        <v>46209</v>
      </c>
      <c r="D14" s="10" t="s">
        <v>18</v>
      </c>
      <c r="E14" s="10" t="s">
        <v>59</v>
      </c>
      <c r="F14" s="10" t="s">
        <v>60</v>
      </c>
      <c r="G14" s="10" t="s">
        <v>76</v>
      </c>
      <c r="H14" s="22" t="n">
        <f aca="false">IF(F14="Resolved",0,DATE(2026,7,21)-C14)</f>
        <v>15</v>
      </c>
    </row>
    <row r="15" customFormat="false" ht="15" hidden="false" customHeight="false" outlineLevel="0" collapsed="false">
      <c r="B15" s="10" t="s">
        <v>77</v>
      </c>
      <c r="C15" s="16" t="n">
        <v>46212</v>
      </c>
      <c r="D15" s="10" t="s">
        <v>14</v>
      </c>
      <c r="E15" s="10" t="s">
        <v>55</v>
      </c>
      <c r="F15" s="10" t="s">
        <v>56</v>
      </c>
      <c r="G15" s="10" t="s">
        <v>76</v>
      </c>
      <c r="H15" s="22" t="n">
        <f aca="false">IF(F15="Resolved",0,DATE(2026,7,21)-C15)</f>
        <v>0</v>
      </c>
    </row>
    <row r="16" customFormat="false" ht="15" hidden="false" customHeight="false" outlineLevel="0" collapsed="false">
      <c r="B16" s="10" t="s">
        <v>78</v>
      </c>
      <c r="C16" s="16" t="n">
        <v>46195</v>
      </c>
      <c r="D16" s="10" t="s">
        <v>24</v>
      </c>
      <c r="E16" s="10" t="s">
        <v>55</v>
      </c>
      <c r="F16" s="10" t="s">
        <v>56</v>
      </c>
      <c r="G16" s="10" t="s">
        <v>67</v>
      </c>
      <c r="H16" s="22" t="n">
        <f aca="false">IF(F16="Resolved",0,DATE(2026,7,21)-C16)</f>
        <v>0</v>
      </c>
    </row>
    <row r="17" customFormat="false" ht="15" hidden="false" customHeight="false" outlineLevel="0" collapsed="false">
      <c r="B17" s="10" t="s">
        <v>79</v>
      </c>
      <c r="C17" s="16" t="n">
        <v>46185</v>
      </c>
      <c r="D17" s="10" t="s">
        <v>20</v>
      </c>
      <c r="E17" s="10" t="s">
        <v>63</v>
      </c>
      <c r="F17" s="10" t="s">
        <v>56</v>
      </c>
      <c r="G17" s="10" t="s">
        <v>76</v>
      </c>
      <c r="H17" s="22" t="n">
        <f aca="false">IF(F17="Resolved",0,DATE(2026,7,21)-C17)</f>
        <v>0</v>
      </c>
    </row>
    <row r="18" customFormat="false" ht="15" hidden="false" customHeight="false" outlineLevel="0" collapsed="false">
      <c r="B18" s="10" t="s">
        <v>80</v>
      </c>
      <c r="C18" s="16" t="n">
        <v>46219</v>
      </c>
      <c r="D18" s="10" t="s">
        <v>24</v>
      </c>
      <c r="E18" s="10" t="s">
        <v>55</v>
      </c>
      <c r="F18" s="10" t="s">
        <v>56</v>
      </c>
      <c r="G18" s="10" t="s">
        <v>67</v>
      </c>
      <c r="H18" s="22" t="n">
        <f aca="false">IF(F18="Resolved",0,DATE(2026,7,21)-C18)</f>
        <v>0</v>
      </c>
    </row>
    <row r="19" customFormat="false" ht="15" hidden="false" customHeight="false" outlineLevel="0" collapsed="false">
      <c r="B19" s="10" t="s">
        <v>81</v>
      </c>
      <c r="C19" s="16" t="n">
        <v>46189</v>
      </c>
      <c r="D19" s="10" t="s">
        <v>14</v>
      </c>
      <c r="E19" s="10" t="s">
        <v>55</v>
      </c>
      <c r="F19" s="10" t="s">
        <v>66</v>
      </c>
      <c r="G19" s="10" t="s">
        <v>57</v>
      </c>
      <c r="H19" s="22" t="n">
        <f aca="false">IF(F19="Resolved",0,DATE(2026,7,21)-C19)</f>
        <v>35</v>
      </c>
    </row>
    <row r="20" customFormat="false" ht="15" hidden="false" customHeight="false" outlineLevel="0" collapsed="false">
      <c r="B20" s="10" t="s">
        <v>82</v>
      </c>
      <c r="C20" s="16" t="n">
        <v>46205</v>
      </c>
      <c r="D20" s="10" t="s">
        <v>22</v>
      </c>
      <c r="E20" s="10" t="s">
        <v>59</v>
      </c>
      <c r="F20" s="10" t="s">
        <v>56</v>
      </c>
      <c r="G20" s="10" t="s">
        <v>57</v>
      </c>
      <c r="H20" s="22" t="n">
        <f aca="false">IF(F20="Resolved",0,DATE(2026,7,21)-C20)</f>
        <v>0</v>
      </c>
    </row>
    <row r="21" customFormat="false" ht="15" hidden="false" customHeight="false" outlineLevel="0" collapsed="false">
      <c r="B21" s="10" t="s">
        <v>83</v>
      </c>
      <c r="C21" s="16" t="n">
        <v>46196</v>
      </c>
      <c r="D21" s="10" t="s">
        <v>14</v>
      </c>
      <c r="E21" s="10" t="s">
        <v>55</v>
      </c>
      <c r="F21" s="10" t="s">
        <v>60</v>
      </c>
      <c r="G21" s="10" t="s">
        <v>76</v>
      </c>
      <c r="H21" s="22" t="n">
        <f aca="false">IF(F21="Resolved",0,DATE(2026,7,21)-C21)</f>
        <v>28</v>
      </c>
    </row>
    <row r="22" customFormat="false" ht="15" hidden="false" customHeight="false" outlineLevel="0" collapsed="false">
      <c r="B22" s="10" t="s">
        <v>84</v>
      </c>
      <c r="C22" s="16" t="n">
        <v>46196</v>
      </c>
      <c r="D22" s="10" t="s">
        <v>20</v>
      </c>
      <c r="E22" s="10" t="s">
        <v>74</v>
      </c>
      <c r="F22" s="10" t="s">
        <v>66</v>
      </c>
      <c r="G22" s="10" t="s">
        <v>61</v>
      </c>
      <c r="H22" s="22" t="n">
        <f aca="false">IF(F22="Resolved",0,DATE(2026,7,21)-C22)</f>
        <v>28</v>
      </c>
    </row>
    <row r="23" customFormat="false" ht="15" hidden="false" customHeight="false" outlineLevel="0" collapsed="false">
      <c r="B23" s="10" t="s">
        <v>85</v>
      </c>
      <c r="C23" s="16" t="n">
        <v>46184</v>
      </c>
      <c r="D23" s="10" t="s">
        <v>25</v>
      </c>
      <c r="E23" s="10" t="s">
        <v>63</v>
      </c>
      <c r="F23" s="10" t="s">
        <v>60</v>
      </c>
      <c r="G23" s="10" t="s">
        <v>67</v>
      </c>
      <c r="H23" s="22" t="n">
        <f aca="false">IF(F23="Resolved",0,DATE(2026,7,21)-C23)</f>
        <v>40</v>
      </c>
    </row>
    <row r="24" customFormat="false" ht="15" hidden="false" customHeight="false" outlineLevel="0" collapsed="false">
      <c r="B24" s="10" t="s">
        <v>86</v>
      </c>
      <c r="C24" s="16" t="n">
        <v>46214</v>
      </c>
      <c r="D24" s="10" t="s">
        <v>20</v>
      </c>
      <c r="E24" s="10" t="s">
        <v>55</v>
      </c>
      <c r="F24" s="10" t="s">
        <v>60</v>
      </c>
      <c r="G24" s="10" t="s">
        <v>61</v>
      </c>
      <c r="H24" s="22" t="n">
        <f aca="false">IF(F24="Resolved",0,DATE(2026,7,21)-C24)</f>
        <v>10</v>
      </c>
    </row>
    <row r="25" customFormat="false" ht="15" hidden="false" customHeight="false" outlineLevel="0" collapsed="false">
      <c r="B25" s="10" t="s">
        <v>87</v>
      </c>
      <c r="C25" s="16" t="n">
        <v>46199</v>
      </c>
      <c r="D25" s="10" t="s">
        <v>22</v>
      </c>
      <c r="E25" s="10" t="s">
        <v>74</v>
      </c>
      <c r="F25" s="10" t="s">
        <v>60</v>
      </c>
      <c r="G25" s="10" t="s">
        <v>57</v>
      </c>
      <c r="H25" s="22" t="n">
        <f aca="false">IF(F25="Resolved",0,DATE(2026,7,21)-C25)</f>
        <v>25</v>
      </c>
    </row>
    <row r="26" customFormat="false" ht="15" hidden="false" customHeight="false" outlineLevel="0" collapsed="false">
      <c r="B26" s="10" t="s">
        <v>88</v>
      </c>
      <c r="C26" s="16" t="n">
        <v>46219</v>
      </c>
      <c r="D26" s="10" t="s">
        <v>24</v>
      </c>
      <c r="E26" s="10" t="s">
        <v>59</v>
      </c>
      <c r="F26" s="10" t="s">
        <v>66</v>
      </c>
      <c r="G26" s="10" t="s">
        <v>61</v>
      </c>
      <c r="H26" s="22" t="n">
        <f aca="false">IF(F26="Resolved",0,DATE(2026,7,21)-C26)</f>
        <v>5</v>
      </c>
    </row>
    <row r="27" customFormat="false" ht="15" hidden="false" customHeight="false" outlineLevel="0" collapsed="false">
      <c r="B27" s="10" t="s">
        <v>89</v>
      </c>
      <c r="C27" s="16" t="n">
        <v>46194</v>
      </c>
      <c r="D27" s="10" t="s">
        <v>18</v>
      </c>
      <c r="E27" s="10" t="s">
        <v>55</v>
      </c>
      <c r="F27" s="10" t="s">
        <v>66</v>
      </c>
      <c r="G27" s="10" t="s">
        <v>76</v>
      </c>
      <c r="H27" s="22" t="n">
        <f aca="false">IF(F27="Resolved",0,DATE(2026,7,21)-C27)</f>
        <v>30</v>
      </c>
    </row>
    <row r="28" customFormat="false" ht="15" hidden="false" customHeight="false" outlineLevel="0" collapsed="false">
      <c r="B28" s="10" t="s">
        <v>90</v>
      </c>
      <c r="C28" s="16" t="n">
        <v>46207</v>
      </c>
      <c r="D28" s="10" t="s">
        <v>25</v>
      </c>
      <c r="E28" s="10" t="s">
        <v>59</v>
      </c>
      <c r="F28" s="10" t="s">
        <v>60</v>
      </c>
      <c r="G28" s="10" t="s">
        <v>61</v>
      </c>
      <c r="H28" s="22" t="n">
        <f aca="false">IF(F28="Resolved",0,DATE(2026,7,21)-C28)</f>
        <v>17</v>
      </c>
    </row>
    <row r="29" customFormat="false" ht="15" hidden="false" customHeight="false" outlineLevel="0" collapsed="false">
      <c r="B29" s="10" t="s">
        <v>91</v>
      </c>
      <c r="C29" s="16" t="n">
        <v>46185</v>
      </c>
      <c r="D29" s="10" t="s">
        <v>22</v>
      </c>
      <c r="E29" s="10" t="s">
        <v>74</v>
      </c>
      <c r="F29" s="10" t="s">
        <v>60</v>
      </c>
      <c r="G29" s="10" t="s">
        <v>67</v>
      </c>
      <c r="H29" s="22" t="n">
        <f aca="false">IF(F29="Resolved",0,DATE(2026,7,21)-C29)</f>
        <v>39</v>
      </c>
    </row>
    <row r="30" customFormat="false" ht="15" hidden="false" customHeight="false" outlineLevel="0" collapsed="false">
      <c r="B30" s="10" t="s">
        <v>92</v>
      </c>
      <c r="C30" s="16" t="n">
        <v>46184</v>
      </c>
      <c r="D30" s="10" t="s">
        <v>25</v>
      </c>
      <c r="E30" s="10" t="s">
        <v>59</v>
      </c>
      <c r="F30" s="10" t="s">
        <v>56</v>
      </c>
      <c r="G30" s="10" t="s">
        <v>67</v>
      </c>
      <c r="H30" s="22" t="n">
        <f aca="false">IF(F30="Resolved",0,DATE(2026,7,21)-C30)</f>
        <v>0</v>
      </c>
    </row>
  </sheetData>
  <autoFilter ref="B2:H30"/>
  <conditionalFormatting sqref="F3:F30">
    <cfRule type="cellIs" priority="2" operator="equal" aboveAverage="0" equalAverage="0" bottom="0" percent="0" rank="0" text="" dxfId="91">
      <formula>"Open"</formula>
    </cfRule>
    <cfRule type="cellIs" priority="3" operator="equal" aboveAverage="0" equalAverage="0" bottom="0" percent="0" rank="0" text="" dxfId="93">
      <formula>"Resolved"</formula>
    </cfRule>
  </conditionalFormatting>
  <conditionalFormatting sqref="E3:E30">
    <cfRule type="cellIs" priority="4" operator="equal" aboveAverage="0" equalAverage="0" bottom="0" percent="0" rank="0" text="" dxfId="91">
      <formula>"Critical"</formula>
    </cfRule>
    <cfRule type="cellIs" priority="5" operator="equal" aboveAverage="0" equalAverage="0" bottom="0" percent="0" rank="0" text="" dxfId="92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8" min="5" style="0" width="14"/>
    <col collapsed="false" customWidth="true" hidden="false" outlineLevel="0" max="9" min="9" style="0" width="10"/>
  </cols>
  <sheetData>
    <row r="2" customFormat="false" ht="16.15" hidden="false" customHeight="false" outlineLevel="0" collapsed="false">
      <c r="B2" s="23" t="s">
        <v>93</v>
      </c>
    </row>
    <row r="3" customFormat="false" ht="15" hidden="false" customHeight="false" outlineLevel="0" collapsed="false">
      <c r="B3" s="15" t="s">
        <v>94</v>
      </c>
      <c r="C3" s="15" t="s">
        <v>28</v>
      </c>
      <c r="D3" s="15" t="s">
        <v>29</v>
      </c>
      <c r="E3" s="15" t="s">
        <v>95</v>
      </c>
      <c r="F3" s="15" t="s">
        <v>37</v>
      </c>
      <c r="G3" s="15" t="s">
        <v>32</v>
      </c>
      <c r="H3" s="15" t="s">
        <v>96</v>
      </c>
      <c r="I3" s="15" t="s">
        <v>38</v>
      </c>
    </row>
    <row r="4" customFormat="false" ht="15" hidden="false" customHeight="false" outlineLevel="0" collapsed="false">
      <c r="B4" s="24" t="s">
        <v>97</v>
      </c>
      <c r="C4" s="25" t="n">
        <f aca="false">SUMPRODUCT((Daily_Ops_Data!B3:B98&gt;=DATE(2026,5,27))*(Daily_Ops_Data!B3:B98&lt;=DATE(2026,6,2))*Daily_Ops_Data!C3:C98)</f>
        <v>158632</v>
      </c>
      <c r="D4" s="25" t="n">
        <f aca="false">SUMPRODUCT((Daily_Ops_Data!B3:B98&gt;=DATE(2026,5,27))*(Daily_Ops_Data!B3:B98&lt;=DATE(2026,6,2))*Daily_Ops_Data!D3:D98)</f>
        <v>158516</v>
      </c>
      <c r="E4" s="18" t="n">
        <f aca="false">IFERROR(AVERAGEIFS(Daily_Ops_Data!J3:J98,Daily_Ops_Data!B3:B98,"&gt;="&amp;DATE(2026,5,27),Daily_Ops_Data!B3:B98,"&lt;="&amp;DATE(2026,6,2)),0)</f>
        <v>42.0601839288852</v>
      </c>
      <c r="F4" s="20" t="n">
        <f aca="false">IFERROR(AVERAGEIFS(Daily_Ops_Data!L3:L98,Daily_Ops_Data!B3:B98,"&gt;="&amp;DATE(2026,5,27),Daily_Ops_Data!B3:B98,"&lt;="&amp;DATE(2026,6,2)),0)</f>
        <v>0.00612360086626593</v>
      </c>
      <c r="G4" s="19" t="n">
        <f aca="false">IFERROR(AVERAGEIFS(Daily_Ops_Data!G3:G98,Daily_Ops_Data!B3:B98,"&gt;="&amp;DATE(2026,5,27),Daily_Ops_Data!B3:B98,"&lt;="&amp;DATE(2026,6,2)),0)</f>
        <v>0.936428571428571</v>
      </c>
      <c r="H4" s="22" t="n">
        <f aca="false">SUMPRODUCT((Issue_Log!C3:C30&gt;=DATE(2026,5,27))*(Issue_Log!C3:C30&lt;=DATE(2026,6,2)))</f>
        <v>0</v>
      </c>
      <c r="I4" s="21" t="str">
        <f aca="false">IF(OR(G4&lt;0.9,F4&gt;0.01),"Red",IF(OR(G4&lt;0.95,F4&gt;0.007),"Amber","Green"))</f>
        <v>Amber</v>
      </c>
    </row>
    <row r="5" customFormat="false" ht="15" hidden="false" customHeight="false" outlineLevel="0" collapsed="false">
      <c r="B5" s="24" t="s">
        <v>98</v>
      </c>
      <c r="C5" s="25" t="n">
        <f aca="false">SUMPRODUCT((Daily_Ops_Data!B3:B98&gt;=DATE(2026,6,3))*(Daily_Ops_Data!B3:B98&lt;=DATE(2026,6,9))*Daily_Ops_Data!C3:C98)</f>
        <v>153853</v>
      </c>
      <c r="D5" s="25" t="n">
        <f aca="false">SUMPRODUCT((Daily_Ops_Data!B3:B98&gt;=DATE(2026,6,3))*(Daily_Ops_Data!B3:B98&lt;=DATE(2026,6,9))*Daily_Ops_Data!D3:D98)</f>
        <v>152226</v>
      </c>
      <c r="E5" s="18" t="n">
        <f aca="false">IFERROR(AVERAGEIFS(Daily_Ops_Data!J3:J98,Daily_Ops_Data!B3:B98,"&gt;="&amp;DATE(2026,6,3),Daily_Ops_Data!B3:B98,"&lt;="&amp;DATE(2026,6,9)),0)</f>
        <v>37.7136649230682</v>
      </c>
      <c r="F5" s="20" t="n">
        <f aca="false">IFERROR(AVERAGEIFS(Daily_Ops_Data!L3:L98,Daily_Ops_Data!B3:B98,"&gt;="&amp;DATE(2026,6,3),Daily_Ops_Data!B3:B98,"&lt;="&amp;DATE(2026,6,9)),0)</f>
        <v>0.00573453151070741</v>
      </c>
      <c r="G5" s="19" t="n">
        <f aca="false">IFERROR(AVERAGEIFS(Daily_Ops_Data!G3:G98,Daily_Ops_Data!B3:B98,"&gt;="&amp;DATE(2026,6,3),Daily_Ops_Data!B3:B98,"&lt;="&amp;DATE(2026,6,9)),0)</f>
        <v>0.9434</v>
      </c>
      <c r="H5" s="22" t="n">
        <f aca="false">SUMPRODUCT((Issue_Log!C3:C30&gt;=DATE(2026,6,3))*(Issue_Log!C3:C30&lt;=DATE(2026,6,9)))</f>
        <v>0</v>
      </c>
      <c r="I5" s="21" t="str">
        <f aca="false">IF(OR(G5&lt;0.9,F5&gt;0.01),"Red",IF(OR(G5&lt;0.95,F5&gt;0.007),"Amber","Green"))</f>
        <v>Amber</v>
      </c>
    </row>
    <row r="6" customFormat="false" ht="15" hidden="false" customHeight="false" outlineLevel="0" collapsed="false">
      <c r="B6" s="24" t="s">
        <v>99</v>
      </c>
      <c r="C6" s="25" t="n">
        <f aca="false">SUMPRODUCT((Daily_Ops_Data!B3:B98&gt;=DATE(2026,6,10))*(Daily_Ops_Data!B3:B98&lt;=DATE(2026,6,16))*Daily_Ops_Data!C3:C98)</f>
        <v>150711</v>
      </c>
      <c r="D6" s="25" t="n">
        <f aca="false">SUMPRODUCT((Daily_Ops_Data!B3:B98&gt;=DATE(2026,6,10))*(Daily_Ops_Data!B3:B98&lt;=DATE(2026,6,16))*Daily_Ops_Data!D3:D98)</f>
        <v>150723</v>
      </c>
      <c r="E6" s="18" t="n">
        <f aca="false">IFERROR(AVERAGEIFS(Daily_Ops_Data!J3:J98,Daily_Ops_Data!B3:B98,"&gt;="&amp;DATE(2026,6,10),Daily_Ops_Data!B3:B98,"&lt;="&amp;DATE(2026,6,16)),0)</f>
        <v>42.59173984128</v>
      </c>
      <c r="F6" s="20" t="n">
        <f aca="false">IFERROR(AVERAGEIFS(Daily_Ops_Data!L3:L98,Daily_Ops_Data!B3:B98,"&gt;="&amp;DATE(2026,6,10),Daily_Ops_Data!B3:B98,"&lt;="&amp;DATE(2026,6,16)),0)</f>
        <v>0.00635361331518636</v>
      </c>
      <c r="G6" s="19" t="n">
        <f aca="false">IFERROR(AVERAGEIFS(Daily_Ops_Data!G3:G98,Daily_Ops_Data!B3:B98,"&gt;="&amp;DATE(2026,6,10),Daily_Ops_Data!B3:B98,"&lt;="&amp;DATE(2026,6,16)),0)</f>
        <v>0.9337</v>
      </c>
      <c r="H6" s="22" t="n">
        <f aca="false">SUMPRODUCT((Issue_Log!C3:C30&gt;=DATE(2026,6,10))*(Issue_Log!C3:C30&lt;=DATE(2026,6,16)))</f>
        <v>7</v>
      </c>
      <c r="I6" s="21" t="str">
        <f aca="false">IF(OR(G6&lt;0.9,F6&gt;0.01),"Red",IF(OR(G6&lt;0.95,F6&gt;0.007),"Amber","Green"))</f>
        <v>Amber</v>
      </c>
    </row>
    <row r="7" customFormat="false" ht="15" hidden="false" customHeight="false" outlineLevel="0" collapsed="false">
      <c r="B7" s="24" t="s">
        <v>100</v>
      </c>
      <c r="C7" s="25" t="n">
        <f aca="false">SUMPRODUCT((Daily_Ops_Data!B3:B98&gt;=DATE(2026,6,17))*(Daily_Ops_Data!B3:B98&lt;=DATE(2026,6,23))*Daily_Ops_Data!C3:C98)</f>
        <v>169254</v>
      </c>
      <c r="D7" s="25" t="n">
        <f aca="false">SUMPRODUCT((Daily_Ops_Data!B3:B98&gt;=DATE(2026,6,17))*(Daily_Ops_Data!B3:B98&lt;=DATE(2026,6,23))*Daily_Ops_Data!D3:D98)</f>
        <v>170088</v>
      </c>
      <c r="E7" s="18" t="n">
        <f aca="false">IFERROR(AVERAGEIFS(Daily_Ops_Data!J3:J98,Daily_Ops_Data!B3:B98,"&gt;="&amp;DATE(2026,6,17),Daily_Ops_Data!B3:B98,"&lt;="&amp;DATE(2026,6,23)),0)</f>
        <v>46.3564212944137</v>
      </c>
      <c r="F7" s="20" t="n">
        <f aca="false">IFERROR(AVERAGEIFS(Daily_Ops_Data!L3:L98,Daily_Ops_Data!B3:B98,"&gt;="&amp;DATE(2026,6,17),Daily_Ops_Data!B3:B98,"&lt;="&amp;DATE(2026,6,23)),0)</f>
        <v>0.00577114577567093</v>
      </c>
      <c r="G7" s="19" t="n">
        <f aca="false">IFERROR(AVERAGEIFS(Daily_Ops_Data!G3:G98,Daily_Ops_Data!B3:B98,"&gt;="&amp;DATE(2026,6,17),Daily_Ops_Data!B3:B98,"&lt;="&amp;DATE(2026,6,23)),0)</f>
        <v>0.935757142857143</v>
      </c>
      <c r="H7" s="22" t="n">
        <f aca="false">SUMPRODUCT((Issue_Log!C3:C30&gt;=DATE(2026,6,17))*(Issue_Log!C3:C30&lt;=DATE(2026,6,23)))</f>
        <v>6</v>
      </c>
      <c r="I7" s="21" t="str">
        <f aca="false">IF(OR(G7&lt;0.9,F7&gt;0.01),"Red",IF(OR(G7&lt;0.95,F7&gt;0.007),"Amber","Green"))</f>
        <v>Amber</v>
      </c>
    </row>
    <row r="8" customFormat="false" ht="15" hidden="false" customHeight="false" outlineLevel="0" collapsed="false">
      <c r="B8" s="24" t="s">
        <v>101</v>
      </c>
      <c r="C8" s="25" t="n">
        <f aca="false">SUMPRODUCT((Daily_Ops_Data!B3:B98&gt;=DATE(2026,6,24))*(Daily_Ops_Data!B3:B98&lt;=DATE(2026,6,30))*Daily_Ops_Data!C3:C98)</f>
        <v>147061</v>
      </c>
      <c r="D8" s="25" t="n">
        <f aca="false">SUMPRODUCT((Daily_Ops_Data!B3:B98&gt;=DATE(2026,6,24))*(Daily_Ops_Data!B3:B98&lt;=DATE(2026,6,30))*Daily_Ops_Data!D3:D98)</f>
        <v>141449</v>
      </c>
      <c r="E8" s="18" t="n">
        <f aca="false">IFERROR(AVERAGEIFS(Daily_Ops_Data!J3:J98,Daily_Ops_Data!B3:B98,"&gt;="&amp;DATE(2026,6,24),Daily_Ops_Data!B3:B98,"&lt;="&amp;DATE(2026,6,30)),0)</f>
        <v>38.9229664082312</v>
      </c>
      <c r="F8" s="20" t="n">
        <f aca="false">IFERROR(AVERAGEIFS(Daily_Ops_Data!L3:L98,Daily_Ops_Data!B3:B98,"&gt;="&amp;DATE(2026,6,24),Daily_Ops_Data!B3:B98,"&lt;="&amp;DATE(2026,6,30)),0)</f>
        <v>0.00740706994720583</v>
      </c>
      <c r="G8" s="19" t="n">
        <f aca="false">IFERROR(AVERAGEIFS(Daily_Ops_Data!G3:G98,Daily_Ops_Data!B3:B98,"&gt;="&amp;DATE(2026,6,24),Daily_Ops_Data!B3:B98,"&lt;="&amp;DATE(2026,6,30)),0)</f>
        <v>0.942442857142857</v>
      </c>
      <c r="H8" s="22" t="n">
        <f aca="false">SUMPRODUCT((Issue_Log!C3:C30&gt;=DATE(2026,6,24))*(Issue_Log!C3:C30&lt;=DATE(2026,6,30)))</f>
        <v>4</v>
      </c>
      <c r="I8" s="21" t="str">
        <f aca="false">IF(OR(G8&lt;0.9,F8&gt;0.01),"Red",IF(OR(G8&lt;0.95,F8&gt;0.007),"Amber","Green"))</f>
        <v>Amber</v>
      </c>
    </row>
    <row r="9" customFormat="false" ht="15" hidden="false" customHeight="false" outlineLevel="0" collapsed="false">
      <c r="B9" s="24" t="s">
        <v>102</v>
      </c>
      <c r="C9" s="25" t="n">
        <f aca="false">SUMPRODUCT((Daily_Ops_Data!B3:B98&gt;=DATE(2026,7,1))*(Daily_Ops_Data!B3:B98&lt;=DATE(2026,7,7))*Daily_Ops_Data!C3:C98)</f>
        <v>154209</v>
      </c>
      <c r="D9" s="25" t="n">
        <f aca="false">SUMPRODUCT((Daily_Ops_Data!B3:B98&gt;=DATE(2026,7,1))*(Daily_Ops_Data!B3:B98&lt;=DATE(2026,7,7))*Daily_Ops_Data!D3:D98)</f>
        <v>148266</v>
      </c>
      <c r="E9" s="18" t="n">
        <f aca="false">IFERROR(AVERAGEIFS(Daily_Ops_Data!J3:J98,Daily_Ops_Data!B3:B98,"&gt;="&amp;DATE(2026,7,1),Daily_Ops_Data!B3:B98,"&lt;="&amp;DATE(2026,7,7)),0)</f>
        <v>39.5508749585688</v>
      </c>
      <c r="F9" s="20" t="n">
        <f aca="false">IFERROR(AVERAGEIFS(Daily_Ops_Data!L3:L98,Daily_Ops_Data!B3:B98,"&gt;="&amp;DATE(2026,7,1),Daily_Ops_Data!B3:B98,"&lt;="&amp;DATE(2026,7,7)),0)</f>
        <v>0.00722255623562243</v>
      </c>
      <c r="G9" s="19" t="n">
        <f aca="false">IFERROR(AVERAGEIFS(Daily_Ops_Data!G3:G98,Daily_Ops_Data!B3:B98,"&gt;="&amp;DATE(2026,7,1),Daily_Ops_Data!B3:B98,"&lt;="&amp;DATE(2026,7,7)),0)</f>
        <v>0.944514285714286</v>
      </c>
      <c r="H9" s="22" t="n">
        <f aca="false">SUMPRODUCT((Issue_Log!C3:C30&gt;=DATE(2026,7,1))*(Issue_Log!C3:C30&lt;=DATE(2026,7,7)))</f>
        <v>4</v>
      </c>
      <c r="I9" s="21" t="str">
        <f aca="false">IF(OR(G9&lt;0.9,F9&gt;0.01),"Red",IF(OR(G9&lt;0.95,F9&gt;0.007),"Amber","Green"))</f>
        <v>Amber</v>
      </c>
    </row>
    <row r="10" customFormat="false" ht="15" hidden="false" customHeight="false" outlineLevel="0" collapsed="false">
      <c r="B10" s="24" t="s">
        <v>103</v>
      </c>
      <c r="C10" s="25" t="n">
        <f aca="false">SUMPRODUCT((Daily_Ops_Data!B3:B98&gt;=DATE(2026,7,8))*(Daily_Ops_Data!B3:B98&lt;=DATE(2026,7,14))*Daily_Ops_Data!C3:C98)</f>
        <v>139898</v>
      </c>
      <c r="D10" s="25" t="n">
        <f aca="false">SUMPRODUCT((Daily_Ops_Data!B3:B98&gt;=DATE(2026,7,8))*(Daily_Ops_Data!B3:B98&lt;=DATE(2026,7,14))*Daily_Ops_Data!D3:D98)</f>
        <v>141259</v>
      </c>
      <c r="E10" s="18" t="n">
        <f aca="false">IFERROR(AVERAGEIFS(Daily_Ops_Data!J3:J98,Daily_Ops_Data!B3:B98,"&gt;="&amp;DATE(2026,7,8),Daily_Ops_Data!B3:B98,"&lt;="&amp;DATE(2026,7,14)),0)</f>
        <v>38.246432665971</v>
      </c>
      <c r="F10" s="20" t="n">
        <f aca="false">IFERROR(AVERAGEIFS(Daily_Ops_Data!L3:L98,Daily_Ops_Data!B3:B98,"&gt;="&amp;DATE(2026,7,8),Daily_Ops_Data!B3:B98,"&lt;="&amp;DATE(2026,7,14)),0)</f>
        <v>0.00617626653878755</v>
      </c>
      <c r="G10" s="19" t="n">
        <f aca="false">IFERROR(AVERAGEIFS(Daily_Ops_Data!G3:G98,Daily_Ops_Data!B3:B98,"&gt;="&amp;DATE(2026,7,8),Daily_Ops_Data!B3:B98,"&lt;="&amp;DATE(2026,7,14)),0)</f>
        <v>0.928342857142857</v>
      </c>
      <c r="H10" s="22" t="n">
        <f aca="false">SUMPRODUCT((Issue_Log!C3:C30&gt;=DATE(2026,7,8))*(Issue_Log!C3:C30&lt;=DATE(2026,7,14)))</f>
        <v>4</v>
      </c>
      <c r="I10" s="21" t="str">
        <f aca="false">IF(OR(G10&lt;0.9,F10&gt;0.01),"Red",IF(OR(G10&lt;0.95,F10&gt;0.007),"Amber","Green"))</f>
        <v>Amber</v>
      </c>
    </row>
    <row r="11" customFormat="false" ht="15" hidden="false" customHeight="false" outlineLevel="0" collapsed="false">
      <c r="B11" s="24" t="s">
        <v>104</v>
      </c>
      <c r="C11" s="25" t="n">
        <f aca="false">SUMPRODUCT((Daily_Ops_Data!B3:B98&gt;=DATE(2026,7,15))*(Daily_Ops_Data!B3:B98&lt;=DATE(2026,7,21))*Daily_Ops_Data!C3:C98)</f>
        <v>167662</v>
      </c>
      <c r="D11" s="25" t="n">
        <f aca="false">SUMPRODUCT((Daily_Ops_Data!B3:B98&gt;=DATE(2026,7,15))*(Daily_Ops_Data!B3:B98&lt;=DATE(2026,7,21))*Daily_Ops_Data!D3:D98)</f>
        <v>164318</v>
      </c>
      <c r="E11" s="18" t="n">
        <f aca="false">IFERROR(AVERAGEIFS(Daily_Ops_Data!J3:J98,Daily_Ops_Data!B3:B98,"&gt;="&amp;DATE(2026,7,15),Daily_Ops_Data!B3:B98,"&lt;="&amp;DATE(2026,7,21)),0)</f>
        <v>44.7170622687874</v>
      </c>
      <c r="F11" s="20" t="n">
        <f aca="false">IFERROR(AVERAGEIFS(Daily_Ops_Data!L3:L98,Daily_Ops_Data!B3:B98,"&gt;="&amp;DATE(2026,7,15),Daily_Ops_Data!B3:B98,"&lt;="&amp;DATE(2026,7,21)),0)</f>
        <v>0.00489311290681253</v>
      </c>
      <c r="G11" s="19" t="n">
        <f aca="false">IFERROR(AVERAGEIFS(Daily_Ops_Data!G3:G98,Daily_Ops_Data!B3:B98,"&gt;="&amp;DATE(2026,7,15),Daily_Ops_Data!B3:B98,"&lt;="&amp;DATE(2026,7,21)),0)</f>
        <v>0.9472</v>
      </c>
      <c r="H11" s="22" t="n">
        <f aca="false">SUMPRODUCT((Issue_Log!C3:C30&gt;=DATE(2026,7,15))*(Issue_Log!C3:C30&lt;=DATE(2026,7,21)))</f>
        <v>3</v>
      </c>
      <c r="I11" s="21" t="str">
        <f aca="false">IF(OR(G11&lt;0.9,F11&gt;0.01),"Red",IF(OR(G11&lt;0.95,F11&gt;0.007),"Amber","Green"))</f>
        <v>Amber</v>
      </c>
    </row>
  </sheetData>
  <conditionalFormatting sqref="I4:I11">
    <cfRule type="cellIs" priority="2" operator="equal" aboveAverage="0" equalAverage="0" bottom="0" percent="0" rank="0" text="" dxfId="91">
      <formula>"Red"</formula>
    </cfRule>
    <cfRule type="cellIs" priority="3" operator="equal" aboveAverage="0" equalAverage="0" bottom="0" percent="0" rank="0" text="" dxfId="92">
      <formula>"Amber"</formula>
    </cfRule>
    <cfRule type="cellIs" priority="4" operator="equal" aboveAverage="0" equalAverage="0" bottom="0" percent="0" rank="0" text="" dxfId="93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2026-07-22T04:15:19Z</dcterms:created>
  <dc:creator>openpyxl</dc:creator>
  <dc:description/>
  <dc:language>en-US</dc:language>
  <cp:lastModifiedBy/>
  <dcterms:modified xsi:type="dcterms:W3CDTF">2026-07-22T04:15:20Z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