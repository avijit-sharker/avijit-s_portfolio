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nboarding_Pipeline" sheetId="2" state="visible" r:id="rId4"/>
    <sheet name="Documentation_Checklist" sheetId="3" state="visible" r:id="rId5"/>
    <sheet name="Exceptions_Log" sheetId="4" state="visible" r:id="rId6"/>
    <sheet name="SLA_Summary" sheetId="5" state="visible" r:id="rId7"/>
  </sheets>
  <definedNames>
    <definedName function="false" hidden="false" localSheetId="0" name="_xlnm.Print_Area" vbProcedure="false">Dashboard!$B$2:$L$40</definedName>
    <definedName function="false" hidden="true" localSheetId="2" name="_xlnm._FilterDatabase" vbProcedure="false">Documentation_Checklist!$B$2:$G$242</definedName>
    <definedName function="false" hidden="true" localSheetId="3" name="_xlnm._FilterDatabase" vbProcedure="false">Exceptions_Log!$B$2:$J$20</definedName>
    <definedName function="false" hidden="true" localSheetId="1" name="_xlnm._FilterDatabase" vbProcedure="false">Onboarding_Pipeline!$B$2:$L$32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<sst xmlns="http://schemas.openxmlformats.org/spreadsheetml/2006/main" count="1771" uniqueCount="166">
  <si>
    <t xml:space="preserve">Account Onboarding &amp; Compliance Tracker</t>
  </si>
  <si>
    <t xml:space="preserve">Live pipeline, documentation completeness, KYC/AML status, and SLA breach monitoring</t>
  </si>
  <si>
    <t xml:space="preserve">TOTAL APPLICATIONS</t>
  </si>
  <si>
    <t xml:space="preserve">ACCOUNTS OPENED</t>
  </si>
  <si>
    <t xml:space="preserve">PENDING DOCUMENTATION</t>
  </si>
  <si>
    <t xml:space="preserve">OPEN EXCEPTIONS</t>
  </si>
  <si>
    <t xml:space="preserve">KYC CLEARED %</t>
  </si>
  <si>
    <t xml:space="preserve">AVG DAYS TO OPEN</t>
  </si>
  <si>
    <t xml:space="preserve">AVG COMPLETENESS</t>
  </si>
  <si>
    <t xml:space="preserve">SLA BREACHES</t>
  </si>
  <si>
    <t xml:space="preserve">Pipeline by Status</t>
  </si>
  <si>
    <t xml:space="preserve">Missing Docs by Type</t>
  </si>
  <si>
    <t xml:space="preserve">Weekly Openings</t>
  </si>
  <si>
    <t xml:space="preserve">Submitted</t>
  </si>
  <si>
    <t xml:space="preserve">Government ID</t>
  </si>
  <si>
    <t xml:space="preserve">W1</t>
  </si>
  <si>
    <t xml:space="preserve">In Review</t>
  </si>
  <si>
    <t xml:space="preserve">Proof of Address</t>
  </si>
  <si>
    <t xml:space="preserve">W2</t>
  </si>
  <si>
    <t xml:space="preserve">KYC Pending</t>
  </si>
  <si>
    <t xml:space="preserve">SSN/TIN (W-9)</t>
  </si>
  <si>
    <t xml:space="preserve">W3</t>
  </si>
  <si>
    <t xml:space="preserve">Docs Outstanding</t>
  </si>
  <si>
    <t xml:space="preserve">Signature Card</t>
  </si>
  <si>
    <t xml:space="preserve">W4</t>
  </si>
  <si>
    <t xml:space="preserve">Funding Pending</t>
  </si>
  <si>
    <t xml:space="preserve">Beneficiary Form</t>
  </si>
  <si>
    <t xml:space="preserve">W5</t>
  </si>
  <si>
    <t xml:space="preserve">Opened</t>
  </si>
  <si>
    <t xml:space="preserve">Funding Source</t>
  </si>
  <si>
    <t xml:space="preserve">W6</t>
  </si>
  <si>
    <t xml:space="preserve">Rejected</t>
  </si>
  <si>
    <t xml:space="preserve">Note: Completeness %, days open, KYC/AML status, and SLA breach flags are live Excel formulas (COUNTIFS/AVERAGEIFS/SUMPRODUCT). Sample data.</t>
  </si>
  <si>
    <t xml:space="preserve">Application ID</t>
  </si>
  <si>
    <t xml:space="preserve">Client Name</t>
  </si>
  <si>
    <t xml:space="preserve">Account Type</t>
  </si>
  <si>
    <t xml:space="preserve">Advisor</t>
  </si>
  <si>
    <t xml:space="preserve">Date Submitted</t>
  </si>
  <si>
    <t xml:space="preserve">Status</t>
  </si>
  <si>
    <t xml:space="preserve">Days Open</t>
  </si>
  <si>
    <t xml:space="preserve">KYC Status</t>
  </si>
  <si>
    <t xml:space="preserve">AML Status</t>
  </si>
  <si>
    <t xml:space="preserve">Funding Status</t>
  </si>
  <si>
    <t xml:space="preserve">Completeness %</t>
  </si>
  <si>
    <t xml:space="preserve">APP0001</t>
  </si>
  <si>
    <t xml:space="preserve">Amelia Leon</t>
  </si>
  <si>
    <t xml:space="preserve">Checking</t>
  </si>
  <si>
    <t xml:space="preserve">A. Rivera</t>
  </si>
  <si>
    <t xml:space="preserve">APP0002</t>
  </si>
  <si>
    <t xml:space="preserve">Abigail Coleman</t>
  </si>
  <si>
    <t xml:space="preserve">IRA</t>
  </si>
  <si>
    <t xml:space="preserve">M. Chen</t>
  </si>
  <si>
    <t xml:space="preserve">APP0003</t>
  </si>
  <si>
    <t xml:space="preserve">Jackson Bishop</t>
  </si>
  <si>
    <t xml:space="preserve">Savings</t>
  </si>
  <si>
    <t xml:space="preserve">APP0004</t>
  </si>
  <si>
    <t xml:space="preserve">Layla Jetton</t>
  </si>
  <si>
    <t xml:space="preserve">APP0005</t>
  </si>
  <si>
    <t xml:space="preserve">Abigail Jetton</t>
  </si>
  <si>
    <t xml:space="preserve">Trust</t>
  </si>
  <si>
    <t xml:space="preserve">APP0006</t>
  </si>
  <si>
    <t xml:space="preserve">Daniel Webb</t>
  </si>
  <si>
    <t xml:space="preserve">Brokerage</t>
  </si>
  <si>
    <t xml:space="preserve">K. Osei</t>
  </si>
  <si>
    <t xml:space="preserve">APP0007</t>
  </si>
  <si>
    <t xml:space="preserve">Abigail Sims</t>
  </si>
  <si>
    <t xml:space="preserve">APP0008</t>
  </si>
  <si>
    <t xml:space="preserve">Ella Gordon</t>
  </si>
  <si>
    <t xml:space="preserve">APP0009</t>
  </si>
  <si>
    <t xml:space="preserve">APP0010</t>
  </si>
  <si>
    <t xml:space="preserve">Jackson Park</t>
  </si>
  <si>
    <t xml:space="preserve">APP0011</t>
  </si>
  <si>
    <t xml:space="preserve">Logan Sims</t>
  </si>
  <si>
    <t xml:space="preserve">APP0012</t>
  </si>
  <si>
    <t xml:space="preserve">Lucas Haynes</t>
  </si>
  <si>
    <t xml:space="preserve">S. Patel</t>
  </si>
  <si>
    <t xml:space="preserve">APP0013</t>
  </si>
  <si>
    <t xml:space="preserve">Emma Floyd</t>
  </si>
  <si>
    <t xml:space="preserve">APP0014</t>
  </si>
  <si>
    <t xml:space="preserve">Ava Wynn</t>
  </si>
  <si>
    <t xml:space="preserve">APP0015</t>
  </si>
  <si>
    <t xml:space="preserve">Emma Park</t>
  </si>
  <si>
    <t xml:space="preserve">J. Novak</t>
  </si>
  <si>
    <t xml:space="preserve">APP0016</t>
  </si>
  <si>
    <t xml:space="preserve">Logan Knox</t>
  </si>
  <si>
    <t xml:space="preserve">APP0017</t>
  </si>
  <si>
    <t xml:space="preserve">Emma Pena</t>
  </si>
  <si>
    <t xml:space="preserve">APP0018</t>
  </si>
  <si>
    <t xml:space="preserve">Lucas Leon</t>
  </si>
  <si>
    <t xml:space="preserve">APP0019</t>
  </si>
  <si>
    <t xml:space="preserve">Riley Marsh</t>
  </si>
  <si>
    <t xml:space="preserve">APP0020</t>
  </si>
  <si>
    <t xml:space="preserve">Henry Floyd</t>
  </si>
  <si>
    <t xml:space="preserve">APP0021</t>
  </si>
  <si>
    <t xml:space="preserve">Ava Odom</t>
  </si>
  <si>
    <t xml:space="preserve">APP0022</t>
  </si>
  <si>
    <t xml:space="preserve">Aiden Bishop</t>
  </si>
  <si>
    <t xml:space="preserve">APP0023</t>
  </si>
  <si>
    <t xml:space="preserve">Riley Webb</t>
  </si>
  <si>
    <t xml:space="preserve">Custodial</t>
  </si>
  <si>
    <t xml:space="preserve">APP0024</t>
  </si>
  <si>
    <t xml:space="preserve">Jackson Boyd</t>
  </si>
  <si>
    <t xml:space="preserve">Joint</t>
  </si>
  <si>
    <t xml:space="preserve">APP0025</t>
  </si>
  <si>
    <t xml:space="preserve">Ethan Webb</t>
  </si>
  <si>
    <t xml:space="preserve">APP0026</t>
  </si>
  <si>
    <t xml:space="preserve">Abigail Salazar</t>
  </si>
  <si>
    <t xml:space="preserve">APP0027</t>
  </si>
  <si>
    <t xml:space="preserve">Caleb Boyd</t>
  </si>
  <si>
    <t xml:space="preserve">APP0028</t>
  </si>
  <si>
    <t xml:space="preserve">Grace Stark</t>
  </si>
  <si>
    <t xml:space="preserve">APP0029</t>
  </si>
  <si>
    <t xml:space="preserve">Daniel Park</t>
  </si>
  <si>
    <t xml:space="preserve">APP0030</t>
  </si>
  <si>
    <t xml:space="preserve">Amelia Floyd</t>
  </si>
  <si>
    <t xml:space="preserve">Document Type</t>
  </si>
  <si>
    <t xml:space="preserve">Required</t>
  </si>
  <si>
    <t xml:space="preserve">Owner</t>
  </si>
  <si>
    <t xml:space="preserve">Yes</t>
  </si>
  <si>
    <t xml:space="preserve">Complete</t>
  </si>
  <si>
    <t xml:space="preserve">Pending</t>
  </si>
  <si>
    <t xml:space="preserve">Disclosures Acknowledged</t>
  </si>
  <si>
    <t xml:space="preserve">Tax Residency (CRS)</t>
  </si>
  <si>
    <t xml:space="preserve">N/A</t>
  </si>
  <si>
    <t xml:space="preserve">Exception ID</t>
  </si>
  <si>
    <t xml:space="preserve">Date Logged</t>
  </si>
  <si>
    <t xml:space="preserve">Exception Type</t>
  </si>
  <si>
    <t xml:space="preserve">Severity</t>
  </si>
  <si>
    <t xml:space="preserve">Age (Days)</t>
  </si>
  <si>
    <t xml:space="preserve">EX0001</t>
  </si>
  <si>
    <t xml:space="preserve">Address Mismatch</t>
  </si>
  <si>
    <t xml:space="preserve">High</t>
  </si>
  <si>
    <t xml:space="preserve">Open</t>
  </si>
  <si>
    <t xml:space="preserve">EX0002</t>
  </si>
  <si>
    <t xml:space="preserve">Missing Signature</t>
  </si>
  <si>
    <t xml:space="preserve">Medium</t>
  </si>
  <si>
    <t xml:space="preserve">In Progress</t>
  </si>
  <si>
    <t xml:space="preserve">EX0003</t>
  </si>
  <si>
    <t xml:space="preserve">Funds Source Unclear</t>
  </si>
  <si>
    <t xml:space="preserve">Resolved</t>
  </si>
  <si>
    <t xml:space="preserve">EX0004</t>
  </si>
  <si>
    <t xml:space="preserve">Beneficiary Conflict</t>
  </si>
  <si>
    <t xml:space="preserve">EX0005</t>
  </si>
  <si>
    <t xml:space="preserve">EX0006</t>
  </si>
  <si>
    <t xml:space="preserve">EX0007</t>
  </si>
  <si>
    <t xml:space="preserve">W-9 Incomplete</t>
  </si>
  <si>
    <t xml:space="preserve">Low</t>
  </si>
  <si>
    <t xml:space="preserve">EX0008</t>
  </si>
  <si>
    <t xml:space="preserve">EX0009</t>
  </si>
  <si>
    <t xml:space="preserve">KYC Alert</t>
  </si>
  <si>
    <t xml:space="preserve">EX0010</t>
  </si>
  <si>
    <t xml:space="preserve">Name Variation</t>
  </si>
  <si>
    <t xml:space="preserve">EX0011</t>
  </si>
  <si>
    <t xml:space="preserve">EX0012</t>
  </si>
  <si>
    <t xml:space="preserve">EX0013</t>
  </si>
  <si>
    <t xml:space="preserve">EX0014</t>
  </si>
  <si>
    <t xml:space="preserve">EX0015</t>
  </si>
  <si>
    <t xml:space="preserve">EX0016</t>
  </si>
  <si>
    <t xml:space="preserve">EX0017</t>
  </si>
  <si>
    <t xml:space="preserve">EX0018</t>
  </si>
  <si>
    <t xml:space="preserve">SLA Summary by Status</t>
  </si>
  <si>
    <t xml:space="preserve">Count</t>
  </si>
  <si>
    <t xml:space="preserve">% of Total</t>
  </si>
  <si>
    <t xml:space="preserve">Avg Days Open</t>
  </si>
  <si>
    <t xml:space="preserve">Opened (target)</t>
  </si>
  <si>
    <t xml:space="preserve">Breach Flag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</si>
</sst>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"/>
    <numFmt numFmtId="169" formatCode="yyyy\-mm\-dd"/>
    <numFmt numFmtId="170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1B474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993366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A7974"/>
      <rgbColor rgb="FF969696"/>
      <rgbColor rgb="FF1F3864"/>
      <rgbColor rgb="FF339966"/>
      <rgbColor rgb="FF003300"/>
      <rgbColor rgb="FF333300"/>
      <rgbColor rgb="FFA84B2F"/>
      <rgbColor rgb="FF993366"/>
      <rgbColor rgb="FF1B474D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Applications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Dashboard!$C$15:$C$21</c:f>
              <c:strCache>
                <c:ptCount val="7"/>
                <c:pt idx="0">
                  <c:v>Submitted</c:v>
                </c:pt>
                <c:pt idx="1">
                  <c:v>In Review</c:v>
                </c:pt>
                <c:pt idx="2">
                  <c:v>KYC Pending</c:v>
                </c:pt>
                <c:pt idx="3">
                  <c:v>Docs Outstanding</c:v>
                </c:pt>
                <c:pt idx="4">
                  <c:v>Funding Pending</c:v>
                </c:pt>
                <c:pt idx="5">
                  <c:v>Opened</c:v>
                </c:pt>
                <c:pt idx="6">
                  <c:v>Rejected</c:v>
                </c:pt>
              </c:strCache>
            </c:strRef>
          </c:cat>
          <c:val>
            <c:numRef>
              <c:f>Dashboard!$D$15:$D$21</c:f>
              <c:numCache>
                <c:formatCode>0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11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2404294"/>
        <c:axId val="49945436"/>
      </c:barChart>
      <c:catAx>
        <c:axId val="524042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45436"/>
        <c:crosses val="autoZero"/>
        <c:auto val="1"/>
        <c:lblAlgn val="ctr"/>
        <c:lblOffset val="100"/>
        <c:noMultiLvlLbl val="0"/>
      </c:catAx>
      <c:valAx>
        <c:axId val="49945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042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Pending Documents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A84B2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Dashboard!$F$15:$F$20</c:f>
              <c:strCache>
                <c:ptCount val="6"/>
                <c:pt idx="0">
                  <c:v>Government ID</c:v>
                </c:pt>
                <c:pt idx="1">
                  <c:v>Proof of Address</c:v>
                </c:pt>
                <c:pt idx="2">
                  <c:v>SSN/TIN (W-9)</c:v>
                </c:pt>
                <c:pt idx="3">
                  <c:v>Signature Card</c:v>
                </c:pt>
                <c:pt idx="4">
                  <c:v>Beneficiary Form</c:v>
                </c:pt>
                <c:pt idx="5">
                  <c:v>Funding Source</c:v>
                </c:pt>
              </c:strCache>
            </c:strRef>
          </c:cat>
          <c:val>
            <c:numRef>
              <c:f>Dashboard!$G$15:$G$20</c:f>
              <c:numCache>
                <c:formatCode>0</c:formatCode>
                <c:ptCount val="6"/>
                <c:pt idx="0">
                  <c:v>13</c:v>
                </c:pt>
                <c:pt idx="1">
                  <c:v>11</c:v>
                </c:pt>
                <c:pt idx="2">
                  <c:v>8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</c:ser>
        <c:gapWidth val="150"/>
        <c:overlap val="0"/>
        <c:axId val="51051526"/>
        <c:axId val="42663790"/>
      </c:barChart>
      <c:catAx>
        <c:axId val="51051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63790"/>
        <c:crosses val="autoZero"/>
        <c:auto val="1"/>
        <c:lblAlgn val="ctr"/>
        <c:lblOffset val="100"/>
        <c:noMultiLvlLbl val="0"/>
      </c:catAx>
      <c:valAx>
        <c:axId val="42663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515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Accounts Opened — Weekly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B474D"/>
            </a:solidFill>
            <a:ln w="28080">
              <a:solidFill>
                <a:srgbClr val="1B47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Dashboard!$I$15:$I$20</c:f>
              <c:strCache>
                <c:ptCount val="6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</c:strCache>
            </c:strRef>
          </c:cat>
          <c:val>
            <c:numRef>
              <c:f>Dashboard!$J$15:$J$20</c:f>
              <c:numCache>
                <c:formatCode>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062669"/>
        <c:axId val="69551924"/>
      </c:lineChart>
      <c:catAx>
        <c:axId val="19062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551924"/>
        <c:crosses val="autoZero"/>
        <c:auto val="1"/>
        <c:lblAlgn val="ctr"/>
        <c:lblOffset val="100"/>
        <c:noMultiLvlLbl val="0"/>
      </c:catAx>
      <c:valAx>
        <c:axId val="69551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626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3</xdr:col>
      <xdr:colOff>1548000</xdr:colOff>
      <xdr:row>36</xdr:row>
      <xdr:rowOff>43200</xdr:rowOff>
    </xdr:to>
    <xdr:graphicFrame>
      <xdr:nvGraphicFramePr>
        <xdr:cNvPr id="1" name="Chart 1"/>
        <xdr:cNvGraphicFramePr/>
      </xdr:nvGraphicFramePr>
      <xdr:xfrm>
        <a:off x="2818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702000</xdr:colOff>
      <xdr:row>36</xdr:row>
      <xdr:rowOff>43200</xdr:rowOff>
    </xdr:to>
    <xdr:graphicFrame>
      <xdr:nvGraphicFramePr>
        <xdr:cNvPr id="2" name="Chart 2"/>
        <xdr:cNvGraphicFramePr/>
      </xdr:nvGraphicFramePr>
      <xdr:xfrm>
        <a:off x="493380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90720</xdr:colOff>
      <xdr:row>36</xdr:row>
      <xdr:rowOff>43200</xdr:rowOff>
    </xdr:to>
    <xdr:graphicFrame>
      <xdr:nvGraphicFramePr>
        <xdr:cNvPr id="3" name="Chart 3"/>
        <xdr:cNvGraphicFramePr/>
      </xdr:nvGraphicFramePr>
      <xdr:xfrm>
        <a:off x="87400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ocChecklist" displayName="DocChecklist" ref="B2:G242" headerRowCount="1" totalsRowCount="0" totalsRowShown="0">
  <autoFilter ref="B2:G242"/>
  <tableColumns count="6">
    <tableColumn id="1" name="Application ID"/>
    <tableColumn id="2" name="Client Name"/>
    <tableColumn id="3" name="Document Type"/>
    <tableColumn id="4" name="Required"/>
    <tableColumn id="5" name="Status"/>
    <tableColumn id="6" name="Owne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xceptionsLog" displayName="ExceptionsLog" ref="B2:J20" headerRowCount="1" totalsRowCount="0" totalsRowShown="0">
  <autoFilter ref="B2:J20"/>
  <tableColumns count="9">
    <tableColumn id="1" name="Exception ID"/>
    <tableColumn id="2" name="Application ID"/>
    <tableColumn id="3" name="Client Name"/>
    <tableColumn id="4" name="Date Logged"/>
    <tableColumn id="5" name="Exception Type"/>
    <tableColumn id="6" name="Severity"/>
    <tableColumn id="7" name="Status"/>
    <tableColumn id="8" name="Owner"/>
    <tableColumn id="9" name="Age (Days)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OnboardingPipeline" displayName="OnboardingPipeline" ref="B2:L32" headerRowCount="1" totalsRowCount="0" totalsRowShown="0">
  <autoFilter ref="B2:L32"/>
  <tableColumns count="11">
    <tableColumn id="1" name="Application ID"/>
    <tableColumn id="2" name="Client Name"/>
    <tableColumn id="3" name="Account Type"/>
    <tableColumn id="4" name="Advisor"/>
    <tableColumn id="5" name="Date Submitted"/>
    <tableColumn id="6" name="Status"/>
    <tableColumn id="7" name="Days Open"/>
    <tableColumn id="8" name="KYC Status"/>
    <tableColumn id="9" name="AML Status"/>
    <tableColumn id="10" name="Funding Status"/>
    <tableColumn id="11" name="Completeness %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4" min="3" style="0" width="24"/>
    <col collapsed="false" customWidth="true" hidden="false" outlineLevel="0" max="10" min="5" style="0" width="1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</v>
      </c>
      <c r="D5" s="3"/>
      <c r="E5" s="3" t="s">
        <v>3</v>
      </c>
      <c r="F5" s="3"/>
      <c r="G5" s="3" t="s">
        <v>4</v>
      </c>
      <c r="H5" s="3"/>
      <c r="I5" s="3" t="s">
        <v>5</v>
      </c>
      <c r="J5" s="3"/>
    </row>
    <row r="6" customFormat="false" ht="15" hidden="false" customHeight="false" outlineLevel="0" collapsed="false">
      <c r="C6" s="4" t="n">
        <f aca="false">COUNTA(Onboarding_Pipeline!C3:C32)</f>
        <v>30</v>
      </c>
      <c r="D6" s="4"/>
      <c r="E6" s="4" t="n">
        <f aca="false">COUNTIF(Onboarding_Pipeline!G3:G32,"Opened")</f>
        <v>11</v>
      </c>
      <c r="F6" s="4"/>
      <c r="G6" s="4" t="n">
        <f aca="false">COUNTIF(Onboarding_Pipeline!G3:G32,"Docs Outstanding")</f>
        <v>4</v>
      </c>
      <c r="H6" s="4"/>
      <c r="I6" s="4" t="n">
        <f aca="false">COUNTIF(Exceptions_Log!H3:H20,"Open")</f>
        <v>8</v>
      </c>
      <c r="J6" s="4"/>
    </row>
    <row r="7" customFormat="false" ht="15" hidden="false" customHeight="false" outlineLevel="0" collapsed="false"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C9" s="3" t="s">
        <v>6</v>
      </c>
      <c r="D9" s="3"/>
      <c r="E9" s="3" t="s">
        <v>7</v>
      </c>
      <c r="F9" s="3"/>
      <c r="G9" s="3" t="s">
        <v>8</v>
      </c>
      <c r="H9" s="3"/>
      <c r="I9" s="3" t="s">
        <v>9</v>
      </c>
      <c r="J9" s="3"/>
    </row>
    <row r="10" customFormat="false" ht="15" hidden="false" customHeight="false" outlineLevel="0" collapsed="false">
      <c r="C10" s="6" t="n">
        <f aca="false">COUNTIF(Onboarding_Pipeline!I3:I32,"Cleared")/COUNTA(Onboarding_Pipeline!I3:I32)</f>
        <v>0.366666666666667</v>
      </c>
      <c r="D10" s="6"/>
      <c r="E10" s="7" t="n">
        <f aca="false">AVERAGE(Onboarding_Pipeline!H3:H32)</f>
        <v>39.7</v>
      </c>
      <c r="F10" s="7"/>
      <c r="G10" s="6" t="n">
        <f aca="false">AVERAGE(Onboarding_Pipeline!L3:L32)</f>
        <v>0.594246031746032</v>
      </c>
      <c r="H10" s="6"/>
      <c r="I10" s="4" t="n">
        <f aca="false">COUNTIF(SLA_Summary!G4:G10,"BREACH")</f>
        <v>5</v>
      </c>
      <c r="J10" s="4"/>
    </row>
    <row r="11" customFormat="false" ht="15" hidden="false" customHeight="false" outlineLevel="0" collapsed="false">
      <c r="C11" s="6"/>
      <c r="D11" s="6"/>
      <c r="E11" s="7"/>
      <c r="F11" s="7"/>
      <c r="G11" s="6"/>
      <c r="H11" s="6"/>
      <c r="I11" s="4"/>
      <c r="J11" s="4"/>
    </row>
    <row r="12" customFormat="false" ht="15" hidden="false" customHeight="false" outlineLevel="0" collapsed="false">
      <c r="C12" s="5"/>
      <c r="D12" s="5"/>
      <c r="E12" s="5"/>
      <c r="F12" s="5"/>
      <c r="G12" s="5"/>
      <c r="H12" s="5"/>
      <c r="I12" s="5"/>
      <c r="J12" s="5"/>
    </row>
    <row r="14" customFormat="false" ht="16.15" hidden="false" customHeight="false" outlineLevel="0" collapsed="false">
      <c r="C14" s="8" t="s">
        <v>10</v>
      </c>
      <c r="D14" s="8"/>
      <c r="F14" s="8" t="s">
        <v>11</v>
      </c>
      <c r="G14" s="8"/>
      <c r="I14" s="8" t="s">
        <v>12</v>
      </c>
      <c r="J14" s="8"/>
    </row>
    <row r="15" customFormat="false" ht="15" hidden="false" customHeight="false" outlineLevel="0" collapsed="false">
      <c r="C15" s="9" t="s">
        <v>13</v>
      </c>
      <c r="D15" s="10" t="n">
        <f aca="false">COUNTIF(Onboarding_Pipeline!G3:G32,C15)</f>
        <v>5</v>
      </c>
      <c r="F15" s="9" t="s">
        <v>14</v>
      </c>
      <c r="G15" s="10" t="n">
        <f aca="false">COUNTIFS(Documentation_Checklist!D3:D242,F15,Documentation_Checklist!F3:F242,"Pending")</f>
        <v>13</v>
      </c>
      <c r="I15" s="9" t="s">
        <v>15</v>
      </c>
      <c r="J15" s="10" t="n">
        <f aca="false">SUMPRODUCT((Onboarding_Pipeline!F3:F32&gt;=DATE(2026,6,10))*(Onboarding_Pipeline!F3:F32&lt;=DATE(2026,6,16))*(Onboarding_Pipeline!G3:G32="Opened"))</f>
        <v>2</v>
      </c>
    </row>
    <row r="16" customFormat="false" ht="15" hidden="false" customHeight="false" outlineLevel="0" collapsed="false">
      <c r="C16" s="9" t="s">
        <v>16</v>
      </c>
      <c r="D16" s="10" t="n">
        <f aca="false">COUNTIF(Onboarding_Pipeline!G3:G32,C16)</f>
        <v>4</v>
      </c>
      <c r="F16" s="9" t="s">
        <v>17</v>
      </c>
      <c r="G16" s="10" t="n">
        <f aca="false">COUNTIFS(Documentation_Checklist!D3:D242,F16,Documentation_Checklist!F3:F242,"Pending")</f>
        <v>11</v>
      </c>
      <c r="I16" s="9" t="s">
        <v>18</v>
      </c>
      <c r="J16" s="10" t="n">
        <f aca="false">SUMPRODUCT((Onboarding_Pipeline!F3:F32&gt;=DATE(2026,6,17))*(Onboarding_Pipeline!F3:F32&lt;=DATE(2026,6,23))*(Onboarding_Pipeline!G3:G32="Opened"))</f>
        <v>1</v>
      </c>
    </row>
    <row r="17" customFormat="false" ht="15" hidden="false" customHeight="false" outlineLevel="0" collapsed="false">
      <c r="C17" s="9" t="s">
        <v>19</v>
      </c>
      <c r="D17" s="10" t="n">
        <f aca="false">COUNTIF(Onboarding_Pipeline!G3:G32,C17)</f>
        <v>4</v>
      </c>
      <c r="F17" s="9" t="s">
        <v>20</v>
      </c>
      <c r="G17" s="10" t="n">
        <f aca="false">COUNTIFS(Documentation_Checklist!D3:D242,F17,Documentation_Checklist!F3:F242,"Pending")</f>
        <v>8</v>
      </c>
      <c r="I17" s="9" t="s">
        <v>21</v>
      </c>
      <c r="J17" s="10" t="n">
        <f aca="false">SUMPRODUCT((Onboarding_Pipeline!F3:F32&gt;=DATE(2026,6,24))*(Onboarding_Pipeline!F3:F32&lt;=DATE(2026,6,30))*(Onboarding_Pipeline!G3:G32="Opened"))</f>
        <v>1</v>
      </c>
    </row>
    <row r="18" customFormat="false" ht="15" hidden="false" customHeight="false" outlineLevel="0" collapsed="false">
      <c r="C18" s="9" t="s">
        <v>22</v>
      </c>
      <c r="D18" s="10" t="n">
        <f aca="false">COUNTIF(Onboarding_Pipeline!G3:G32,C18)</f>
        <v>4</v>
      </c>
      <c r="F18" s="9" t="s">
        <v>23</v>
      </c>
      <c r="G18" s="10" t="n">
        <f aca="false">COUNTIFS(Documentation_Checklist!D3:D242,F18,Documentation_Checklist!F3:F242,"Pending")</f>
        <v>12</v>
      </c>
      <c r="I18" s="9" t="s">
        <v>24</v>
      </c>
      <c r="J18" s="10" t="n">
        <f aca="false">SUMPRODUCT((Onboarding_Pipeline!F3:F32&gt;=DATE(2026,7,1))*(Onboarding_Pipeline!F3:F32&lt;=DATE(2026,7,7))*(Onboarding_Pipeline!G3:G32="Opened"))</f>
        <v>0</v>
      </c>
    </row>
    <row r="19" customFormat="false" ht="15" hidden="false" customHeight="false" outlineLevel="0" collapsed="false">
      <c r="C19" s="9" t="s">
        <v>25</v>
      </c>
      <c r="D19" s="10" t="n">
        <f aca="false">COUNTIF(Onboarding_Pipeline!G3:G32,C19)</f>
        <v>2</v>
      </c>
      <c r="F19" s="9" t="s">
        <v>26</v>
      </c>
      <c r="G19" s="10" t="n">
        <f aca="false">COUNTIFS(Documentation_Checklist!D3:D242,F19,Documentation_Checklist!F3:F242,"Pending")</f>
        <v>11</v>
      </c>
      <c r="I19" s="9" t="s">
        <v>27</v>
      </c>
      <c r="J19" s="10" t="n">
        <f aca="false">SUMPRODUCT((Onboarding_Pipeline!F3:F32&gt;=DATE(2026,7,8))*(Onboarding_Pipeline!F3:F32&lt;=DATE(2026,7,14))*(Onboarding_Pipeline!G3:G32="Opened"))</f>
        <v>1</v>
      </c>
    </row>
    <row r="20" customFormat="false" ht="15" hidden="false" customHeight="false" outlineLevel="0" collapsed="false">
      <c r="C20" s="9" t="s">
        <v>28</v>
      </c>
      <c r="D20" s="10" t="n">
        <f aca="false">COUNTIF(Onboarding_Pipeline!G3:G32,C20)</f>
        <v>11</v>
      </c>
      <c r="F20" s="9" t="s">
        <v>29</v>
      </c>
      <c r="G20" s="10" t="n">
        <f aca="false">COUNTIFS(Documentation_Checklist!D3:D242,F20,Documentation_Checklist!F3:F242,"Pending")</f>
        <v>9</v>
      </c>
      <c r="I20" s="9" t="s">
        <v>30</v>
      </c>
      <c r="J20" s="10" t="n">
        <f aca="false">SUMPRODUCT((Onboarding_Pipeline!F3:F32&gt;=DATE(2026,7,15))*(Onboarding_Pipeline!F3:F32&lt;=DATE(2026,7,21))*(Onboarding_Pipeline!G3:G32="Opened"))</f>
        <v>1</v>
      </c>
    </row>
    <row r="21" customFormat="false" ht="15" hidden="false" customHeight="false" outlineLevel="0" collapsed="false">
      <c r="C21" s="9" t="s">
        <v>31</v>
      </c>
      <c r="D21" s="10" t="n">
        <f aca="false">COUNTIF(Onboarding_Pipeline!G3:G32,C21)</f>
        <v>0</v>
      </c>
    </row>
    <row r="40" customFormat="false" ht="15" hidden="false" customHeight="false" outlineLevel="0" collapsed="false">
      <c r="C40" s="11" t="s">
        <v>32</v>
      </c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30">
    <mergeCell ref="B2:J2"/>
    <mergeCell ref="B3:J3"/>
    <mergeCell ref="C5:D5"/>
    <mergeCell ref="E5:F5"/>
    <mergeCell ref="G5:H5"/>
    <mergeCell ref="I5:J5"/>
    <mergeCell ref="C6:D7"/>
    <mergeCell ref="E6:F7"/>
    <mergeCell ref="G6:H7"/>
    <mergeCell ref="I6:J7"/>
    <mergeCell ref="C8:D8"/>
    <mergeCell ref="E8:F8"/>
    <mergeCell ref="G8:H8"/>
    <mergeCell ref="I8:J8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C14:D14"/>
    <mergeCell ref="F14:G14"/>
    <mergeCell ref="I14:J14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2" customFormat="false" ht="15" hidden="false" customHeight="false" outlineLevel="0" collapsed="false"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2" t="s">
        <v>43</v>
      </c>
    </row>
    <row r="3" customFormat="false" ht="15" hidden="false" customHeight="false" outlineLevel="0" collapsed="false">
      <c r="B3" s="9" t="s">
        <v>44</v>
      </c>
      <c r="C3" s="9" t="s">
        <v>45</v>
      </c>
      <c r="D3" s="9" t="s">
        <v>46</v>
      </c>
      <c r="E3" s="9" t="s">
        <v>47</v>
      </c>
      <c r="F3" s="13" t="n">
        <v>46182</v>
      </c>
      <c r="G3" s="9" t="s">
        <v>28</v>
      </c>
      <c r="H3" s="14" t="n">
        <f aca="false">DATE(2026,7,21)-F3</f>
        <v>42</v>
      </c>
      <c r="I3" s="15" t="str">
        <f aca="false">IF(G3="Opened","Cleared",IF(G3="KYC Pending","Pending","In Review"))</f>
        <v>Cleared</v>
      </c>
      <c r="J3" s="15" t="str">
        <f aca="false">IF(G3="Opened","Cleared",IF(G3="Rejected","Failed","In Review"))</f>
        <v>Cleared</v>
      </c>
      <c r="K3" s="15" t="str">
        <f aca="false">IF(G3="Opened","Funded",IF(G3="Funding Pending","Pending","Not Started"))</f>
        <v>Funded</v>
      </c>
      <c r="L3" s="16" t="n">
        <f aca="false">IFERROR(COUNTIFS(Documentation_Checklist!B3:B242,B3,Documentation_Checklist!F3:F242,"Complete")/(COUNTIFS(Documentation_Checklist!B3:B242,B3)-COUNTIFS(Documentation_Checklist!B3:B242,B3,Documentation_Checklist!F3:F242,"N/A")),0)</f>
        <v>0.875</v>
      </c>
    </row>
    <row r="4" customFormat="false" ht="15" hidden="false" customHeight="false" outlineLevel="0" collapsed="false">
      <c r="B4" s="9" t="s">
        <v>48</v>
      </c>
      <c r="C4" s="9" t="s">
        <v>49</v>
      </c>
      <c r="D4" s="9" t="s">
        <v>50</v>
      </c>
      <c r="E4" s="9" t="s">
        <v>51</v>
      </c>
      <c r="F4" s="13" t="n">
        <v>46155</v>
      </c>
      <c r="G4" s="9" t="s">
        <v>13</v>
      </c>
      <c r="H4" s="14" t="n">
        <f aca="false">DATE(2026,7,21)-F4</f>
        <v>69</v>
      </c>
      <c r="I4" s="15" t="str">
        <f aca="false">IF(G4="Opened","Cleared",IF(G4="KYC Pending","Pending","In Review"))</f>
        <v>In Review</v>
      </c>
      <c r="J4" s="15" t="str">
        <f aca="false">IF(G4="Opened","Cleared",IF(G4="Rejected","Failed","In Review"))</f>
        <v>In Review</v>
      </c>
      <c r="K4" s="15" t="str">
        <f aca="false">IF(G4="Opened","Funded",IF(G4="Funding Pending","Pending","Not Started"))</f>
        <v>Not Started</v>
      </c>
      <c r="L4" s="16" t="n">
        <f aca="false">IFERROR(COUNTIFS(Documentation_Checklist!B3:B242,B4,Documentation_Checklist!F3:F242,"Complete")/(COUNTIFS(Documentation_Checklist!B3:B242,B4)-COUNTIFS(Documentation_Checklist!B3:B242,B4,Documentation_Checklist!F3:F242,"N/A")),0)</f>
        <v>0.666666666666667</v>
      </c>
    </row>
    <row r="5" customFormat="false" ht="15" hidden="false" customHeight="false" outlineLevel="0" collapsed="false">
      <c r="B5" s="9" t="s">
        <v>52</v>
      </c>
      <c r="C5" s="9" t="s">
        <v>53</v>
      </c>
      <c r="D5" s="9" t="s">
        <v>54</v>
      </c>
      <c r="E5" s="9" t="s">
        <v>47</v>
      </c>
      <c r="F5" s="13" t="n">
        <v>46219</v>
      </c>
      <c r="G5" s="9" t="s">
        <v>13</v>
      </c>
      <c r="H5" s="14" t="n">
        <f aca="false">DATE(2026,7,21)-F5</f>
        <v>5</v>
      </c>
      <c r="I5" s="15" t="str">
        <f aca="false">IF(G5="Opened","Cleared",IF(G5="KYC Pending","Pending","In Review"))</f>
        <v>In Review</v>
      </c>
      <c r="J5" s="15" t="str">
        <f aca="false">IF(G5="Opened","Cleared",IF(G5="Rejected","Failed","In Review"))</f>
        <v>In Review</v>
      </c>
      <c r="K5" s="15" t="str">
        <f aca="false">IF(G5="Opened","Funded",IF(G5="Funding Pending","Pending","Not Started"))</f>
        <v>Not Started</v>
      </c>
      <c r="L5" s="16" t="n">
        <f aca="false">IFERROR(COUNTIFS(Documentation_Checklist!B3:B242,B5,Documentation_Checklist!F3:F242,"Complete")/(COUNTIFS(Documentation_Checklist!B3:B242,B5)-COUNTIFS(Documentation_Checklist!B3:B242,B5,Documentation_Checklist!F3:F242,"N/A")),0)</f>
        <v>0.333333333333333</v>
      </c>
    </row>
    <row r="6" customFormat="false" ht="15" hidden="false" customHeight="false" outlineLevel="0" collapsed="false">
      <c r="B6" s="9" t="s">
        <v>55</v>
      </c>
      <c r="C6" s="9" t="s">
        <v>56</v>
      </c>
      <c r="D6" s="9" t="s">
        <v>46</v>
      </c>
      <c r="E6" s="9" t="s">
        <v>51</v>
      </c>
      <c r="F6" s="13" t="n">
        <v>46153</v>
      </c>
      <c r="G6" s="9" t="s">
        <v>19</v>
      </c>
      <c r="H6" s="14" t="n">
        <f aca="false">DATE(2026,7,21)-F6</f>
        <v>71</v>
      </c>
      <c r="I6" s="15" t="str">
        <f aca="false">IF(G6="Opened","Cleared",IF(G6="KYC Pending","Pending","In Review"))</f>
        <v>Pending</v>
      </c>
      <c r="J6" s="15" t="str">
        <f aca="false">IF(G6="Opened","Cleared",IF(G6="Rejected","Failed","In Review"))</f>
        <v>In Review</v>
      </c>
      <c r="K6" s="15" t="str">
        <f aca="false">IF(G6="Opened","Funded",IF(G6="Funding Pending","Pending","Not Started"))</f>
        <v>Not Started</v>
      </c>
      <c r="L6" s="16" t="n">
        <f aca="false">IFERROR(COUNTIFS(Documentation_Checklist!B3:B242,B6,Documentation_Checklist!F3:F242,"Complete")/(COUNTIFS(Documentation_Checklist!B3:B242,B6)-COUNTIFS(Documentation_Checklist!B3:B242,B6,Documentation_Checklist!F3:F242,"N/A")),0)</f>
        <v>0.5</v>
      </c>
    </row>
    <row r="7" customFormat="false" ht="15" hidden="false" customHeight="false" outlineLevel="0" collapsed="false">
      <c r="B7" s="9" t="s">
        <v>57</v>
      </c>
      <c r="C7" s="9" t="s">
        <v>58</v>
      </c>
      <c r="D7" s="9" t="s">
        <v>59</v>
      </c>
      <c r="E7" s="9" t="s">
        <v>47</v>
      </c>
      <c r="F7" s="13" t="n">
        <v>46149</v>
      </c>
      <c r="G7" s="9" t="s">
        <v>28</v>
      </c>
      <c r="H7" s="14" t="n">
        <f aca="false">DATE(2026,7,21)-F7</f>
        <v>75</v>
      </c>
      <c r="I7" s="15" t="str">
        <f aca="false">IF(G7="Opened","Cleared",IF(G7="KYC Pending","Pending","In Review"))</f>
        <v>Cleared</v>
      </c>
      <c r="J7" s="15" t="str">
        <f aca="false">IF(G7="Opened","Cleared",IF(G7="Rejected","Failed","In Review"))</f>
        <v>Cleared</v>
      </c>
      <c r="K7" s="15" t="str">
        <f aca="false">IF(G7="Opened","Funded",IF(G7="Funding Pending","Pending","Not Started"))</f>
        <v>Funded</v>
      </c>
      <c r="L7" s="16" t="n">
        <f aca="false">IFERROR(COUNTIFS(Documentation_Checklist!B3:B242,B7,Documentation_Checklist!F3:F242,"Complete")/(COUNTIFS(Documentation_Checklist!B3:B242,B7)-COUNTIFS(Documentation_Checklist!B3:B242,B7,Documentation_Checklist!F3:F242,"N/A")),0)</f>
        <v>0.75</v>
      </c>
    </row>
    <row r="8" customFormat="false" ht="15" hidden="false" customHeight="false" outlineLevel="0" collapsed="false">
      <c r="B8" s="9" t="s">
        <v>60</v>
      </c>
      <c r="C8" s="9" t="s">
        <v>61</v>
      </c>
      <c r="D8" s="9" t="s">
        <v>62</v>
      </c>
      <c r="E8" s="9" t="s">
        <v>63</v>
      </c>
      <c r="F8" s="13" t="n">
        <v>46195</v>
      </c>
      <c r="G8" s="9" t="s">
        <v>13</v>
      </c>
      <c r="H8" s="14" t="n">
        <f aca="false">DATE(2026,7,21)-F8</f>
        <v>29</v>
      </c>
      <c r="I8" s="15" t="str">
        <f aca="false">IF(G8="Opened","Cleared",IF(G8="KYC Pending","Pending","In Review"))</f>
        <v>In Review</v>
      </c>
      <c r="J8" s="15" t="str">
        <f aca="false">IF(G8="Opened","Cleared",IF(G8="Rejected","Failed","In Review"))</f>
        <v>In Review</v>
      </c>
      <c r="K8" s="15" t="str">
        <f aca="false">IF(G8="Opened","Funded",IF(G8="Funding Pending","Pending","Not Started"))</f>
        <v>Not Started</v>
      </c>
      <c r="L8" s="16" t="n">
        <f aca="false">IFERROR(COUNTIFS(Documentation_Checklist!B3:B242,B8,Documentation_Checklist!F3:F242,"Complete")/(COUNTIFS(Documentation_Checklist!B3:B242,B8)-COUNTIFS(Documentation_Checklist!B3:B242,B8,Documentation_Checklist!F3:F242,"N/A")),0)</f>
        <v>0.166666666666667</v>
      </c>
    </row>
    <row r="9" customFormat="false" ht="15" hidden="false" customHeight="false" outlineLevel="0" collapsed="false">
      <c r="B9" s="9" t="s">
        <v>64</v>
      </c>
      <c r="C9" s="9" t="s">
        <v>65</v>
      </c>
      <c r="D9" s="9" t="s">
        <v>50</v>
      </c>
      <c r="E9" s="9" t="s">
        <v>51</v>
      </c>
      <c r="F9" s="13" t="n">
        <v>46205</v>
      </c>
      <c r="G9" s="9" t="s">
        <v>22</v>
      </c>
      <c r="H9" s="14" t="n">
        <f aca="false">DATE(2026,7,21)-F9</f>
        <v>19</v>
      </c>
      <c r="I9" s="15" t="str">
        <f aca="false">IF(G9="Opened","Cleared",IF(G9="KYC Pending","Pending","In Review"))</f>
        <v>In Review</v>
      </c>
      <c r="J9" s="15" t="str">
        <f aca="false">IF(G9="Opened","Cleared",IF(G9="Rejected","Failed","In Review"))</f>
        <v>In Review</v>
      </c>
      <c r="K9" s="15" t="str">
        <f aca="false">IF(G9="Opened","Funded",IF(G9="Funding Pending","Pending","Not Started"))</f>
        <v>Not Started</v>
      </c>
      <c r="L9" s="16" t="n">
        <f aca="false">IFERROR(COUNTIFS(Documentation_Checklist!B3:B242,B9,Documentation_Checklist!F3:F242,"Complete")/(COUNTIFS(Documentation_Checklist!B3:B242,B9)-COUNTIFS(Documentation_Checklist!B3:B242,B9,Documentation_Checklist!F3:F242,"N/A")),0)</f>
        <v>0.333333333333333</v>
      </c>
    </row>
    <row r="10" customFormat="false" ht="15" hidden="false" customHeight="false" outlineLevel="0" collapsed="false">
      <c r="B10" s="9" t="s">
        <v>66</v>
      </c>
      <c r="C10" s="9" t="s">
        <v>67</v>
      </c>
      <c r="D10" s="9" t="s">
        <v>62</v>
      </c>
      <c r="E10" s="9" t="s">
        <v>47</v>
      </c>
      <c r="F10" s="13" t="n">
        <v>46210</v>
      </c>
      <c r="G10" s="9" t="s">
        <v>25</v>
      </c>
      <c r="H10" s="14" t="n">
        <f aca="false">DATE(2026,7,21)-F10</f>
        <v>14</v>
      </c>
      <c r="I10" s="15" t="str">
        <f aca="false">IF(G10="Opened","Cleared",IF(G10="KYC Pending","Pending","In Review"))</f>
        <v>In Review</v>
      </c>
      <c r="J10" s="15" t="str">
        <f aca="false">IF(G10="Opened","Cleared",IF(G10="Rejected","Failed","In Review"))</f>
        <v>In Review</v>
      </c>
      <c r="K10" s="15" t="str">
        <f aca="false">IF(G10="Opened","Funded",IF(G10="Funding Pending","Pending","Not Started"))</f>
        <v>Pending</v>
      </c>
      <c r="L10" s="16" t="n">
        <f aca="false">IFERROR(COUNTIFS(Documentation_Checklist!B3:B242,B10,Documentation_Checklist!F3:F242,"Complete")/(COUNTIFS(Documentation_Checklist!B3:B242,B10)-COUNTIFS(Documentation_Checklist!B3:B242,B10,Documentation_Checklist!F3:F242,"N/A")),0)</f>
        <v>0.625</v>
      </c>
    </row>
    <row r="11" customFormat="false" ht="15" hidden="false" customHeight="false" outlineLevel="0" collapsed="false">
      <c r="B11" s="9" t="s">
        <v>68</v>
      </c>
      <c r="C11" s="9" t="s">
        <v>49</v>
      </c>
      <c r="D11" s="9" t="s">
        <v>50</v>
      </c>
      <c r="E11" s="9" t="s">
        <v>51</v>
      </c>
      <c r="F11" s="13" t="n">
        <v>46153</v>
      </c>
      <c r="G11" s="9" t="s">
        <v>28</v>
      </c>
      <c r="H11" s="14" t="n">
        <f aca="false">DATE(2026,7,21)-F11</f>
        <v>71</v>
      </c>
      <c r="I11" s="15" t="str">
        <f aca="false">IF(G11="Opened","Cleared",IF(G11="KYC Pending","Pending","In Review"))</f>
        <v>Cleared</v>
      </c>
      <c r="J11" s="15" t="str">
        <f aca="false">IF(G11="Opened","Cleared",IF(G11="Rejected","Failed","In Review"))</f>
        <v>Cleared</v>
      </c>
      <c r="K11" s="15" t="str">
        <f aca="false">IF(G11="Opened","Funded",IF(G11="Funding Pending","Pending","Not Started"))</f>
        <v>Funded</v>
      </c>
      <c r="L11" s="16" t="n">
        <f aca="false">IFERROR(COUNTIFS(Documentation_Checklist!B3:B242,B11,Documentation_Checklist!F3:F242,"Complete")/(COUNTIFS(Documentation_Checklist!B3:B242,B11)-COUNTIFS(Documentation_Checklist!B3:B242,B11,Documentation_Checklist!F3:F242,"N/A")),0)</f>
        <v>1</v>
      </c>
    </row>
    <row r="12" customFormat="false" ht="15" hidden="false" customHeight="false" outlineLevel="0" collapsed="false">
      <c r="B12" s="9" t="s">
        <v>69</v>
      </c>
      <c r="C12" s="9" t="s">
        <v>70</v>
      </c>
      <c r="D12" s="9" t="s">
        <v>62</v>
      </c>
      <c r="E12" s="9" t="s">
        <v>63</v>
      </c>
      <c r="F12" s="13" t="n">
        <v>46160</v>
      </c>
      <c r="G12" s="9" t="s">
        <v>25</v>
      </c>
      <c r="H12" s="14" t="n">
        <f aca="false">DATE(2026,7,21)-F12</f>
        <v>64</v>
      </c>
      <c r="I12" s="15" t="str">
        <f aca="false">IF(G12="Opened","Cleared",IF(G12="KYC Pending","Pending","In Review"))</f>
        <v>In Review</v>
      </c>
      <c r="J12" s="15" t="str">
        <f aca="false">IF(G12="Opened","Cleared",IF(G12="Rejected","Failed","In Review"))</f>
        <v>In Review</v>
      </c>
      <c r="K12" s="15" t="str">
        <f aca="false">IF(G12="Opened","Funded",IF(G12="Funding Pending","Pending","Not Started"))</f>
        <v>Pending</v>
      </c>
      <c r="L12" s="16" t="n">
        <f aca="false">IFERROR(COUNTIFS(Documentation_Checklist!B3:B242,B12,Documentation_Checklist!F3:F242,"Complete")/(COUNTIFS(Documentation_Checklist!B3:B242,B12)-COUNTIFS(Documentation_Checklist!B3:B242,B12,Documentation_Checklist!F3:F242,"N/A")),0)</f>
        <v>0.125</v>
      </c>
    </row>
    <row r="13" customFormat="false" ht="15" hidden="false" customHeight="false" outlineLevel="0" collapsed="false">
      <c r="B13" s="9" t="s">
        <v>71</v>
      </c>
      <c r="C13" s="9" t="s">
        <v>72</v>
      </c>
      <c r="D13" s="9" t="s">
        <v>54</v>
      </c>
      <c r="E13" s="9" t="s">
        <v>51</v>
      </c>
      <c r="F13" s="13" t="n">
        <v>46149</v>
      </c>
      <c r="G13" s="9" t="s">
        <v>28</v>
      </c>
      <c r="H13" s="14" t="n">
        <f aca="false">DATE(2026,7,21)-F13</f>
        <v>75</v>
      </c>
      <c r="I13" s="15" t="str">
        <f aca="false">IF(G13="Opened","Cleared",IF(G13="KYC Pending","Pending","In Review"))</f>
        <v>Cleared</v>
      </c>
      <c r="J13" s="15" t="str">
        <f aca="false">IF(G13="Opened","Cleared",IF(G13="Rejected","Failed","In Review"))</f>
        <v>Cleared</v>
      </c>
      <c r="K13" s="15" t="str">
        <f aca="false">IF(G13="Opened","Funded",IF(G13="Funding Pending","Pending","Not Started"))</f>
        <v>Funded</v>
      </c>
      <c r="L13" s="16" t="n">
        <f aca="false">IFERROR(COUNTIFS(Documentation_Checklist!B3:B242,B13,Documentation_Checklist!F3:F242,"Complete")/(COUNTIFS(Documentation_Checklist!B3:B242,B13)-COUNTIFS(Documentation_Checklist!B3:B242,B13,Documentation_Checklist!F3:F242,"N/A")),0)</f>
        <v>0.875</v>
      </c>
    </row>
    <row r="14" customFormat="false" ht="15" hidden="false" customHeight="false" outlineLevel="0" collapsed="false">
      <c r="B14" s="9" t="s">
        <v>73</v>
      </c>
      <c r="C14" s="9" t="s">
        <v>74</v>
      </c>
      <c r="D14" s="9" t="s">
        <v>59</v>
      </c>
      <c r="E14" s="9" t="s">
        <v>75</v>
      </c>
      <c r="F14" s="13" t="n">
        <v>46192</v>
      </c>
      <c r="G14" s="9" t="s">
        <v>13</v>
      </c>
      <c r="H14" s="14" t="n">
        <f aca="false">DATE(2026,7,21)-F14</f>
        <v>32</v>
      </c>
      <c r="I14" s="15" t="str">
        <f aca="false">IF(G14="Opened","Cleared",IF(G14="KYC Pending","Pending","In Review"))</f>
        <v>In Review</v>
      </c>
      <c r="J14" s="15" t="str">
        <f aca="false">IF(G14="Opened","Cleared",IF(G14="Rejected","Failed","In Review"))</f>
        <v>In Review</v>
      </c>
      <c r="K14" s="15" t="str">
        <f aca="false">IF(G14="Opened","Funded",IF(G14="Funding Pending","Pending","Not Started"))</f>
        <v>Not Started</v>
      </c>
      <c r="L14" s="16" t="n">
        <f aca="false">IFERROR(COUNTIFS(Documentation_Checklist!B3:B242,B14,Documentation_Checklist!F3:F242,"Complete")/(COUNTIFS(Documentation_Checklist!B3:B242,B14)-COUNTIFS(Documentation_Checklist!B3:B242,B14,Documentation_Checklist!F3:F242,"N/A")),0)</f>
        <v>0.333333333333333</v>
      </c>
    </row>
    <row r="15" customFormat="false" ht="15" hidden="false" customHeight="false" outlineLevel="0" collapsed="false">
      <c r="B15" s="9" t="s">
        <v>76</v>
      </c>
      <c r="C15" s="9" t="s">
        <v>77</v>
      </c>
      <c r="D15" s="9" t="s">
        <v>50</v>
      </c>
      <c r="E15" s="9" t="s">
        <v>63</v>
      </c>
      <c r="F15" s="13" t="n">
        <v>46166</v>
      </c>
      <c r="G15" s="9" t="s">
        <v>16</v>
      </c>
      <c r="H15" s="14" t="n">
        <f aca="false">DATE(2026,7,21)-F15</f>
        <v>58</v>
      </c>
      <c r="I15" s="15" t="str">
        <f aca="false">IF(G15="Opened","Cleared",IF(G15="KYC Pending","Pending","In Review"))</f>
        <v>In Review</v>
      </c>
      <c r="J15" s="15" t="str">
        <f aca="false">IF(G15="Opened","Cleared",IF(G15="Rejected","Failed","In Review"))</f>
        <v>In Review</v>
      </c>
      <c r="K15" s="15" t="str">
        <f aca="false">IF(G15="Opened","Funded",IF(G15="Funding Pending","Pending","Not Started"))</f>
        <v>Not Started</v>
      </c>
      <c r="L15" s="16" t="n">
        <f aca="false">IFERROR(COUNTIFS(Documentation_Checklist!B3:B242,B15,Documentation_Checklist!F3:F242,"Complete")/(COUNTIFS(Documentation_Checklist!B3:B242,B15)-COUNTIFS(Documentation_Checklist!B3:B242,B15,Documentation_Checklist!F3:F242,"N/A")),0)</f>
        <v>0.5</v>
      </c>
    </row>
    <row r="16" customFormat="false" ht="15" hidden="false" customHeight="false" outlineLevel="0" collapsed="false">
      <c r="B16" s="9" t="s">
        <v>78</v>
      </c>
      <c r="C16" s="9" t="s">
        <v>79</v>
      </c>
      <c r="D16" s="9" t="s">
        <v>59</v>
      </c>
      <c r="E16" s="9" t="s">
        <v>63</v>
      </c>
      <c r="F16" s="13" t="n">
        <v>46202</v>
      </c>
      <c r="G16" s="9" t="s">
        <v>28</v>
      </c>
      <c r="H16" s="14" t="n">
        <f aca="false">DATE(2026,7,21)-F16</f>
        <v>22</v>
      </c>
      <c r="I16" s="15" t="str">
        <f aca="false">IF(G16="Opened","Cleared",IF(G16="KYC Pending","Pending","In Review"))</f>
        <v>Cleared</v>
      </c>
      <c r="J16" s="15" t="str">
        <f aca="false">IF(G16="Opened","Cleared",IF(G16="Rejected","Failed","In Review"))</f>
        <v>Cleared</v>
      </c>
      <c r="K16" s="15" t="str">
        <f aca="false">IF(G16="Opened","Funded",IF(G16="Funding Pending","Pending","Not Started"))</f>
        <v>Funded</v>
      </c>
      <c r="L16" s="16" t="n">
        <f aca="false">IFERROR(COUNTIFS(Documentation_Checklist!B3:B242,B16,Documentation_Checklist!F3:F242,"Complete")/(COUNTIFS(Documentation_Checklist!B3:B242,B16)-COUNTIFS(Documentation_Checklist!B3:B242,B16,Documentation_Checklist!F3:F242,"N/A")),0)</f>
        <v>0.875</v>
      </c>
    </row>
    <row r="17" customFormat="false" ht="15" hidden="false" customHeight="false" outlineLevel="0" collapsed="false">
      <c r="B17" s="9" t="s">
        <v>80</v>
      </c>
      <c r="C17" s="9" t="s">
        <v>81</v>
      </c>
      <c r="D17" s="9" t="s">
        <v>50</v>
      </c>
      <c r="E17" s="9" t="s">
        <v>82</v>
      </c>
      <c r="F17" s="13" t="n">
        <v>46218</v>
      </c>
      <c r="G17" s="9" t="s">
        <v>28</v>
      </c>
      <c r="H17" s="14" t="n">
        <f aca="false">DATE(2026,7,21)-F17</f>
        <v>6</v>
      </c>
      <c r="I17" s="15" t="str">
        <f aca="false">IF(G17="Opened","Cleared",IF(G17="KYC Pending","Pending","In Review"))</f>
        <v>Cleared</v>
      </c>
      <c r="J17" s="15" t="str">
        <f aca="false">IF(G17="Opened","Cleared",IF(G17="Rejected","Failed","In Review"))</f>
        <v>Cleared</v>
      </c>
      <c r="K17" s="15" t="str">
        <f aca="false">IF(G17="Opened","Funded",IF(G17="Funding Pending","Pending","Not Started"))</f>
        <v>Funded</v>
      </c>
      <c r="L17" s="16" t="n">
        <f aca="false">IFERROR(COUNTIFS(Documentation_Checklist!B3:B242,B17,Documentation_Checklist!F3:F242,"Complete")/(COUNTIFS(Documentation_Checklist!B3:B242,B17)-COUNTIFS(Documentation_Checklist!B3:B242,B17,Documentation_Checklist!F3:F242,"N/A")),0)</f>
        <v>0.625</v>
      </c>
    </row>
    <row r="18" customFormat="false" ht="15" hidden="false" customHeight="false" outlineLevel="0" collapsed="false">
      <c r="B18" s="9" t="s">
        <v>83</v>
      </c>
      <c r="C18" s="9" t="s">
        <v>84</v>
      </c>
      <c r="D18" s="9" t="s">
        <v>59</v>
      </c>
      <c r="E18" s="9" t="s">
        <v>82</v>
      </c>
      <c r="F18" s="13" t="n">
        <v>46183</v>
      </c>
      <c r="G18" s="9" t="s">
        <v>19</v>
      </c>
      <c r="H18" s="14" t="n">
        <f aca="false">DATE(2026,7,21)-F18</f>
        <v>41</v>
      </c>
      <c r="I18" s="15" t="str">
        <f aca="false">IF(G18="Opened","Cleared",IF(G18="KYC Pending","Pending","In Review"))</f>
        <v>Pending</v>
      </c>
      <c r="J18" s="15" t="str">
        <f aca="false">IF(G18="Opened","Cleared",IF(G18="Rejected","Failed","In Review"))</f>
        <v>In Review</v>
      </c>
      <c r="K18" s="15" t="str">
        <f aca="false">IF(G18="Opened","Funded",IF(G18="Funding Pending","Pending","Not Started"))</f>
        <v>Not Started</v>
      </c>
      <c r="L18" s="16" t="n">
        <f aca="false">IFERROR(COUNTIFS(Documentation_Checklist!B3:B242,B18,Documentation_Checklist!F3:F242,"Complete")/(COUNTIFS(Documentation_Checklist!B3:B242,B18)-COUNTIFS(Documentation_Checklist!B3:B242,B18,Documentation_Checklist!F3:F242,"N/A")),0)</f>
        <v>0.571428571428571</v>
      </c>
    </row>
    <row r="19" customFormat="false" ht="15" hidden="false" customHeight="false" outlineLevel="0" collapsed="false">
      <c r="B19" s="9" t="s">
        <v>85</v>
      </c>
      <c r="C19" s="9" t="s">
        <v>86</v>
      </c>
      <c r="D19" s="9" t="s">
        <v>59</v>
      </c>
      <c r="E19" s="9" t="s">
        <v>47</v>
      </c>
      <c r="F19" s="13" t="n">
        <v>46165</v>
      </c>
      <c r="G19" s="9" t="s">
        <v>13</v>
      </c>
      <c r="H19" s="14" t="n">
        <f aca="false">DATE(2026,7,21)-F19</f>
        <v>59</v>
      </c>
      <c r="I19" s="15" t="str">
        <f aca="false">IF(G19="Opened","Cleared",IF(G19="KYC Pending","Pending","In Review"))</f>
        <v>In Review</v>
      </c>
      <c r="J19" s="15" t="str">
        <f aca="false">IF(G19="Opened","Cleared",IF(G19="Rejected","Failed","In Review"))</f>
        <v>In Review</v>
      </c>
      <c r="K19" s="15" t="str">
        <f aca="false">IF(G19="Opened","Funded",IF(G19="Funding Pending","Pending","Not Started"))</f>
        <v>Not Started</v>
      </c>
      <c r="L19" s="16" t="n">
        <f aca="false">IFERROR(COUNTIFS(Documentation_Checklist!B3:B242,B19,Documentation_Checklist!F3:F242,"Complete")/(COUNTIFS(Documentation_Checklist!B3:B242,B19)-COUNTIFS(Documentation_Checklist!B3:B242,B19,Documentation_Checklist!F3:F242,"N/A")),0)</f>
        <v>0.333333333333333</v>
      </c>
    </row>
    <row r="20" customFormat="false" ht="15" hidden="false" customHeight="false" outlineLevel="0" collapsed="false">
      <c r="B20" s="9" t="s">
        <v>87</v>
      </c>
      <c r="C20" s="9" t="s">
        <v>88</v>
      </c>
      <c r="D20" s="9" t="s">
        <v>50</v>
      </c>
      <c r="E20" s="9" t="s">
        <v>63</v>
      </c>
      <c r="F20" s="13" t="n">
        <v>46216</v>
      </c>
      <c r="G20" s="9" t="s">
        <v>28</v>
      </c>
      <c r="H20" s="14" t="n">
        <f aca="false">DATE(2026,7,21)-F20</f>
        <v>8</v>
      </c>
      <c r="I20" s="15" t="str">
        <f aca="false">IF(G20="Opened","Cleared",IF(G20="KYC Pending","Pending","In Review"))</f>
        <v>Cleared</v>
      </c>
      <c r="J20" s="15" t="str">
        <f aca="false">IF(G20="Opened","Cleared",IF(G20="Rejected","Failed","In Review"))</f>
        <v>Cleared</v>
      </c>
      <c r="K20" s="15" t="str">
        <f aca="false">IF(G20="Opened","Funded",IF(G20="Funding Pending","Pending","Not Started"))</f>
        <v>Funded</v>
      </c>
      <c r="L20" s="16" t="n">
        <f aca="false">IFERROR(COUNTIFS(Documentation_Checklist!B3:B242,B20,Documentation_Checklist!F3:F242,"Complete")/(COUNTIFS(Documentation_Checklist!B3:B242,B20)-COUNTIFS(Documentation_Checklist!B3:B242,B20,Documentation_Checklist!F3:F242,"N/A")),0)</f>
        <v>0.875</v>
      </c>
    </row>
    <row r="21" customFormat="false" ht="15" hidden="false" customHeight="false" outlineLevel="0" collapsed="false">
      <c r="B21" s="9" t="s">
        <v>89</v>
      </c>
      <c r="C21" s="9" t="s">
        <v>90</v>
      </c>
      <c r="D21" s="9" t="s">
        <v>62</v>
      </c>
      <c r="E21" s="9" t="s">
        <v>47</v>
      </c>
      <c r="F21" s="13" t="n">
        <v>46187</v>
      </c>
      <c r="G21" s="9" t="s">
        <v>28</v>
      </c>
      <c r="H21" s="14" t="n">
        <f aca="false">DATE(2026,7,21)-F21</f>
        <v>37</v>
      </c>
      <c r="I21" s="15" t="str">
        <f aca="false">IF(G21="Opened","Cleared",IF(G21="KYC Pending","Pending","In Review"))</f>
        <v>Cleared</v>
      </c>
      <c r="J21" s="15" t="str">
        <f aca="false">IF(G21="Opened","Cleared",IF(G21="Rejected","Failed","In Review"))</f>
        <v>Cleared</v>
      </c>
      <c r="K21" s="15" t="str">
        <f aca="false">IF(G21="Opened","Funded",IF(G21="Funding Pending","Pending","Not Started"))</f>
        <v>Funded</v>
      </c>
      <c r="L21" s="16" t="n">
        <f aca="false">IFERROR(COUNTIFS(Documentation_Checklist!B3:B242,B21,Documentation_Checklist!F3:F242,"Complete")/(COUNTIFS(Documentation_Checklist!B3:B242,B21)-COUNTIFS(Documentation_Checklist!B3:B242,B21,Documentation_Checklist!F3:F242,"N/A")),0)</f>
        <v>0.875</v>
      </c>
    </row>
    <row r="22" customFormat="false" ht="15" hidden="false" customHeight="false" outlineLevel="0" collapsed="false">
      <c r="B22" s="9" t="s">
        <v>91</v>
      </c>
      <c r="C22" s="9" t="s">
        <v>92</v>
      </c>
      <c r="D22" s="9" t="s">
        <v>59</v>
      </c>
      <c r="E22" s="9" t="s">
        <v>47</v>
      </c>
      <c r="F22" s="13" t="n">
        <v>46164</v>
      </c>
      <c r="G22" s="9" t="s">
        <v>19</v>
      </c>
      <c r="H22" s="14" t="n">
        <f aca="false">DATE(2026,7,21)-F22</f>
        <v>60</v>
      </c>
      <c r="I22" s="15" t="str">
        <f aca="false">IF(G22="Opened","Cleared",IF(G22="KYC Pending","Pending","In Review"))</f>
        <v>Pending</v>
      </c>
      <c r="J22" s="15" t="str">
        <f aca="false">IF(G22="Opened","Cleared",IF(G22="Rejected","Failed","In Review"))</f>
        <v>In Review</v>
      </c>
      <c r="K22" s="15" t="str">
        <f aca="false">IF(G22="Opened","Funded",IF(G22="Funding Pending","Pending","Not Started"))</f>
        <v>Not Started</v>
      </c>
      <c r="L22" s="16" t="n">
        <f aca="false">IFERROR(COUNTIFS(Documentation_Checklist!B3:B242,B22,Documentation_Checklist!F3:F242,"Complete")/(COUNTIFS(Documentation_Checklist!B3:B242,B22)-COUNTIFS(Documentation_Checklist!B3:B242,B22,Documentation_Checklist!F3:F242,"N/A")),0)</f>
        <v>0.714285714285714</v>
      </c>
    </row>
    <row r="23" customFormat="false" ht="15" hidden="false" customHeight="false" outlineLevel="0" collapsed="false">
      <c r="B23" s="9" t="s">
        <v>93</v>
      </c>
      <c r="C23" s="9" t="s">
        <v>94</v>
      </c>
      <c r="D23" s="9" t="s">
        <v>54</v>
      </c>
      <c r="E23" s="9" t="s">
        <v>63</v>
      </c>
      <c r="F23" s="13" t="n">
        <v>46196</v>
      </c>
      <c r="G23" s="9" t="s">
        <v>28</v>
      </c>
      <c r="H23" s="14" t="n">
        <f aca="false">DATE(2026,7,21)-F23</f>
        <v>28</v>
      </c>
      <c r="I23" s="15" t="str">
        <f aca="false">IF(G23="Opened","Cleared",IF(G23="KYC Pending","Pending","In Review"))</f>
        <v>Cleared</v>
      </c>
      <c r="J23" s="15" t="str">
        <f aca="false">IF(G23="Opened","Cleared",IF(G23="Rejected","Failed","In Review"))</f>
        <v>Cleared</v>
      </c>
      <c r="K23" s="15" t="str">
        <f aca="false">IF(G23="Opened","Funded",IF(G23="Funding Pending","Pending","Not Started"))</f>
        <v>Funded</v>
      </c>
      <c r="L23" s="16" t="n">
        <f aca="false">IFERROR(COUNTIFS(Documentation_Checklist!B3:B242,B23,Documentation_Checklist!F3:F242,"Complete")/(COUNTIFS(Documentation_Checklist!B3:B242,B23)-COUNTIFS(Documentation_Checklist!B3:B242,B23,Documentation_Checklist!F3:F242,"N/A")),0)</f>
        <v>0.75</v>
      </c>
    </row>
    <row r="24" customFormat="false" ht="15" hidden="false" customHeight="false" outlineLevel="0" collapsed="false">
      <c r="B24" s="9" t="s">
        <v>95</v>
      </c>
      <c r="C24" s="9" t="s">
        <v>96</v>
      </c>
      <c r="D24" s="9" t="s">
        <v>54</v>
      </c>
      <c r="E24" s="9" t="s">
        <v>63</v>
      </c>
      <c r="F24" s="13" t="n">
        <v>46173</v>
      </c>
      <c r="G24" s="9" t="s">
        <v>28</v>
      </c>
      <c r="H24" s="14" t="n">
        <f aca="false">DATE(2026,7,21)-F24</f>
        <v>51</v>
      </c>
      <c r="I24" s="15" t="str">
        <f aca="false">IF(G24="Opened","Cleared",IF(G24="KYC Pending","Pending","In Review"))</f>
        <v>Cleared</v>
      </c>
      <c r="J24" s="15" t="str">
        <f aca="false">IF(G24="Opened","Cleared",IF(G24="Rejected","Failed","In Review"))</f>
        <v>Cleared</v>
      </c>
      <c r="K24" s="15" t="str">
        <f aca="false">IF(G24="Opened","Funded",IF(G24="Funding Pending","Pending","Not Started"))</f>
        <v>Funded</v>
      </c>
      <c r="L24" s="16" t="n">
        <f aca="false">IFERROR(COUNTIFS(Documentation_Checklist!B3:B242,B24,Documentation_Checklist!F3:F242,"Complete")/(COUNTIFS(Documentation_Checklist!B3:B242,B24)-COUNTIFS(Documentation_Checklist!B3:B242,B24,Documentation_Checklist!F3:F242,"N/A")),0)</f>
        <v>1</v>
      </c>
    </row>
    <row r="25" customFormat="false" ht="15" hidden="false" customHeight="false" outlineLevel="0" collapsed="false">
      <c r="B25" s="9" t="s">
        <v>97</v>
      </c>
      <c r="C25" s="9" t="s">
        <v>98</v>
      </c>
      <c r="D25" s="9" t="s">
        <v>99</v>
      </c>
      <c r="E25" s="9" t="s">
        <v>63</v>
      </c>
      <c r="F25" s="13" t="n">
        <v>46172</v>
      </c>
      <c r="G25" s="9" t="s">
        <v>22</v>
      </c>
      <c r="H25" s="14" t="n">
        <f aca="false">DATE(2026,7,21)-F25</f>
        <v>52</v>
      </c>
      <c r="I25" s="15" t="str">
        <f aca="false">IF(G25="Opened","Cleared",IF(G25="KYC Pending","Pending","In Review"))</f>
        <v>In Review</v>
      </c>
      <c r="J25" s="15" t="str">
        <f aca="false">IF(G25="Opened","Cleared",IF(G25="Rejected","Failed","In Review"))</f>
        <v>In Review</v>
      </c>
      <c r="K25" s="15" t="str">
        <f aca="false">IF(G25="Opened","Funded",IF(G25="Funding Pending","Pending","Not Started"))</f>
        <v>Not Started</v>
      </c>
      <c r="L25" s="16" t="n">
        <f aca="false">IFERROR(COUNTIFS(Documentation_Checklist!B3:B242,B25,Documentation_Checklist!F3:F242,"Complete")/(COUNTIFS(Documentation_Checklist!B3:B242,B25)-COUNTIFS(Documentation_Checklist!B3:B242,B25,Documentation_Checklist!F3:F242,"N/A")),0)</f>
        <v>0.375</v>
      </c>
    </row>
    <row r="26" customFormat="false" ht="15" hidden="false" customHeight="false" outlineLevel="0" collapsed="false">
      <c r="B26" s="9" t="s">
        <v>100</v>
      </c>
      <c r="C26" s="9" t="s">
        <v>101</v>
      </c>
      <c r="D26" s="9" t="s">
        <v>102</v>
      </c>
      <c r="E26" s="9" t="s">
        <v>63</v>
      </c>
      <c r="F26" s="13" t="n">
        <v>46153</v>
      </c>
      <c r="G26" s="9" t="s">
        <v>16</v>
      </c>
      <c r="H26" s="14" t="n">
        <f aca="false">DATE(2026,7,21)-F26</f>
        <v>71</v>
      </c>
      <c r="I26" s="15" t="str">
        <f aca="false">IF(G26="Opened","Cleared",IF(G26="KYC Pending","Pending","In Review"))</f>
        <v>In Review</v>
      </c>
      <c r="J26" s="15" t="str">
        <f aca="false">IF(G26="Opened","Cleared",IF(G26="Rejected","Failed","In Review"))</f>
        <v>In Review</v>
      </c>
      <c r="K26" s="15" t="str">
        <f aca="false">IF(G26="Opened","Funded",IF(G26="Funding Pending","Pending","Not Started"))</f>
        <v>Not Started</v>
      </c>
      <c r="L26" s="16" t="n">
        <f aca="false">IFERROR(COUNTIFS(Documentation_Checklist!B3:B242,B26,Documentation_Checklist!F3:F242,"Complete")/(COUNTIFS(Documentation_Checklist!B3:B242,B26)-COUNTIFS(Documentation_Checklist!B3:B242,B26,Documentation_Checklist!F3:F242,"N/A")),0)</f>
        <v>0.375</v>
      </c>
    </row>
    <row r="27" customFormat="false" ht="15" hidden="false" customHeight="false" outlineLevel="0" collapsed="false">
      <c r="B27" s="9" t="s">
        <v>103</v>
      </c>
      <c r="C27" s="9" t="s">
        <v>104</v>
      </c>
      <c r="D27" s="9" t="s">
        <v>54</v>
      </c>
      <c r="E27" s="9" t="s">
        <v>51</v>
      </c>
      <c r="F27" s="13" t="n">
        <v>46194</v>
      </c>
      <c r="G27" s="9" t="s">
        <v>16</v>
      </c>
      <c r="H27" s="14" t="n">
        <f aca="false">DATE(2026,7,21)-F27</f>
        <v>30</v>
      </c>
      <c r="I27" s="15" t="str">
        <f aca="false">IF(G27="Opened","Cleared",IF(G27="KYC Pending","Pending","In Review"))</f>
        <v>In Review</v>
      </c>
      <c r="J27" s="15" t="str">
        <f aca="false">IF(G27="Opened","Cleared",IF(G27="Rejected","Failed","In Review"))</f>
        <v>In Review</v>
      </c>
      <c r="K27" s="15" t="str">
        <f aca="false">IF(G27="Opened","Funded",IF(G27="Funding Pending","Pending","Not Started"))</f>
        <v>Not Started</v>
      </c>
      <c r="L27" s="16" t="n">
        <f aca="false">IFERROR(COUNTIFS(Documentation_Checklist!B3:B242,B27,Documentation_Checklist!F3:F242,"Complete")/(COUNTIFS(Documentation_Checklist!B3:B242,B27)-COUNTIFS(Documentation_Checklist!B3:B242,B27,Documentation_Checklist!F3:F242,"N/A")),0)</f>
        <v>0.142857142857143</v>
      </c>
    </row>
    <row r="28" customFormat="false" ht="15" hidden="false" customHeight="false" outlineLevel="0" collapsed="false">
      <c r="B28" s="9" t="s">
        <v>105</v>
      </c>
      <c r="C28" s="9" t="s">
        <v>106</v>
      </c>
      <c r="D28" s="9" t="s">
        <v>62</v>
      </c>
      <c r="E28" s="9" t="s">
        <v>75</v>
      </c>
      <c r="F28" s="13" t="n">
        <v>46222</v>
      </c>
      <c r="G28" s="9" t="s">
        <v>22</v>
      </c>
      <c r="H28" s="14" t="n">
        <f aca="false">DATE(2026,7,21)-F28</f>
        <v>2</v>
      </c>
      <c r="I28" s="15" t="str">
        <f aca="false">IF(G28="Opened","Cleared",IF(G28="KYC Pending","Pending","In Review"))</f>
        <v>In Review</v>
      </c>
      <c r="J28" s="15" t="str">
        <f aca="false">IF(G28="Opened","Cleared",IF(G28="Rejected","Failed","In Review"))</f>
        <v>In Review</v>
      </c>
      <c r="K28" s="15" t="str">
        <f aca="false">IF(G28="Opened","Funded",IF(G28="Funding Pending","Pending","Not Started"))</f>
        <v>Not Started</v>
      </c>
      <c r="L28" s="16" t="n">
        <f aca="false">IFERROR(COUNTIFS(Documentation_Checklist!B3:B242,B28,Documentation_Checklist!F3:F242,"Complete")/(COUNTIFS(Documentation_Checklist!B3:B242,B28)-COUNTIFS(Documentation_Checklist!B3:B242,B28,Documentation_Checklist!F3:F242,"N/A")),0)</f>
        <v>0.375</v>
      </c>
    </row>
    <row r="29" customFormat="false" ht="15" hidden="false" customHeight="false" outlineLevel="0" collapsed="false">
      <c r="B29" s="9" t="s">
        <v>107</v>
      </c>
      <c r="C29" s="9" t="s">
        <v>108</v>
      </c>
      <c r="D29" s="9" t="s">
        <v>50</v>
      </c>
      <c r="E29" s="9" t="s">
        <v>82</v>
      </c>
      <c r="F29" s="13" t="n">
        <v>46223</v>
      </c>
      <c r="G29" s="9" t="s">
        <v>16</v>
      </c>
      <c r="H29" s="14" t="n">
        <f aca="false">DATE(2026,7,21)-F29</f>
        <v>1</v>
      </c>
      <c r="I29" s="15" t="str">
        <f aca="false">IF(G29="Opened","Cleared",IF(G29="KYC Pending","Pending","In Review"))</f>
        <v>In Review</v>
      </c>
      <c r="J29" s="15" t="str">
        <f aca="false">IF(G29="Opened","Cleared",IF(G29="Rejected","Failed","In Review"))</f>
        <v>In Review</v>
      </c>
      <c r="K29" s="15" t="str">
        <f aca="false">IF(G29="Opened","Funded",IF(G29="Funding Pending","Pending","Not Started"))</f>
        <v>Not Started</v>
      </c>
      <c r="L29" s="16" t="n">
        <f aca="false">IFERROR(COUNTIFS(Documentation_Checklist!B3:B242,B29,Documentation_Checklist!F3:F242,"Complete")/(COUNTIFS(Documentation_Checklist!B3:B242,B29)-COUNTIFS(Documentation_Checklist!B3:B242,B29,Documentation_Checklist!F3:F242,"N/A")),0)</f>
        <v>0.375</v>
      </c>
    </row>
    <row r="30" customFormat="false" ht="15" hidden="false" customHeight="false" outlineLevel="0" collapsed="false">
      <c r="B30" s="9" t="s">
        <v>109</v>
      </c>
      <c r="C30" s="9" t="s">
        <v>110</v>
      </c>
      <c r="D30" s="9" t="s">
        <v>50</v>
      </c>
      <c r="E30" s="9" t="s">
        <v>82</v>
      </c>
      <c r="F30" s="13" t="n">
        <v>46183</v>
      </c>
      <c r="G30" s="9" t="s">
        <v>28</v>
      </c>
      <c r="H30" s="14" t="n">
        <f aca="false">DATE(2026,7,21)-F30</f>
        <v>41</v>
      </c>
      <c r="I30" s="15" t="str">
        <f aca="false">IF(G30="Opened","Cleared",IF(G30="KYC Pending","Pending","In Review"))</f>
        <v>Cleared</v>
      </c>
      <c r="J30" s="15" t="str">
        <f aca="false">IF(G30="Opened","Cleared",IF(G30="Rejected","Failed","In Review"))</f>
        <v>Cleared</v>
      </c>
      <c r="K30" s="15" t="str">
        <f aca="false">IF(G30="Opened","Funded",IF(G30="Funding Pending","Pending","Not Started"))</f>
        <v>Funded</v>
      </c>
      <c r="L30" s="16" t="n">
        <f aca="false">IFERROR(COUNTIFS(Documentation_Checklist!B3:B242,B30,Documentation_Checklist!F3:F242,"Complete")/(COUNTIFS(Documentation_Checklist!B3:B242,B30)-COUNTIFS(Documentation_Checklist!B3:B242,B30,Documentation_Checklist!F3:F242,"N/A")),0)</f>
        <v>0.875</v>
      </c>
    </row>
    <row r="31" customFormat="false" ht="15" hidden="false" customHeight="false" outlineLevel="0" collapsed="false">
      <c r="B31" s="9" t="s">
        <v>111</v>
      </c>
      <c r="C31" s="9" t="s">
        <v>112</v>
      </c>
      <c r="D31" s="9" t="s">
        <v>99</v>
      </c>
      <c r="E31" s="9" t="s">
        <v>82</v>
      </c>
      <c r="F31" s="13" t="n">
        <v>46217</v>
      </c>
      <c r="G31" s="9" t="s">
        <v>22</v>
      </c>
      <c r="H31" s="14" t="n">
        <f aca="false">DATE(2026,7,21)-F31</f>
        <v>7</v>
      </c>
      <c r="I31" s="15" t="str">
        <f aca="false">IF(G31="Opened","Cleared",IF(G31="KYC Pending","Pending","In Review"))</f>
        <v>In Review</v>
      </c>
      <c r="J31" s="15" t="str">
        <f aca="false">IF(G31="Opened","Cleared",IF(G31="Rejected","Failed","In Review"))</f>
        <v>In Review</v>
      </c>
      <c r="K31" s="15" t="str">
        <f aca="false">IF(G31="Opened","Funded",IF(G31="Funding Pending","Pending","Not Started"))</f>
        <v>Not Started</v>
      </c>
      <c r="L31" s="16" t="n">
        <f aca="false">IFERROR(COUNTIFS(Documentation_Checklist!B3:B242,B31,Documentation_Checklist!F3:F242,"Complete")/(COUNTIFS(Documentation_Checklist!B3:B242,B31)-COUNTIFS(Documentation_Checklist!B3:B242,B31,Documentation_Checklist!F3:F242,"N/A")),0)</f>
        <v>0.857142857142857</v>
      </c>
    </row>
    <row r="32" customFormat="false" ht="15" hidden="false" customHeight="false" outlineLevel="0" collapsed="false">
      <c r="B32" s="9" t="s">
        <v>113</v>
      </c>
      <c r="C32" s="9" t="s">
        <v>114</v>
      </c>
      <c r="D32" s="9" t="s">
        <v>59</v>
      </c>
      <c r="E32" s="9" t="s">
        <v>63</v>
      </c>
      <c r="F32" s="13" t="n">
        <v>46173</v>
      </c>
      <c r="G32" s="9" t="s">
        <v>19</v>
      </c>
      <c r="H32" s="14" t="n">
        <f aca="false">DATE(2026,7,21)-F32</f>
        <v>51</v>
      </c>
      <c r="I32" s="15" t="str">
        <f aca="false">IF(G32="Opened","Cleared",IF(G32="KYC Pending","Pending","In Review"))</f>
        <v>Pending</v>
      </c>
      <c r="J32" s="15" t="str">
        <f aca="false">IF(G32="Opened","Cleared",IF(G32="Rejected","Failed","In Review"))</f>
        <v>In Review</v>
      </c>
      <c r="K32" s="15" t="str">
        <f aca="false">IF(G32="Opened","Funded",IF(G32="Funding Pending","Pending","Not Started"))</f>
        <v>Not Started</v>
      </c>
      <c r="L32" s="16" t="n">
        <f aca="false">IFERROR(COUNTIFS(Documentation_Checklist!B3:B242,B32,Documentation_Checklist!F3:F242,"Complete")/(COUNTIFS(Documentation_Checklist!B3:B242,B32)-COUNTIFS(Documentation_Checklist!B3:B242,B32,Documentation_Checklist!F3:F242,"N/A")),0)</f>
        <v>0.75</v>
      </c>
    </row>
  </sheetData>
  <autoFilter ref="B2:L32"/>
  <conditionalFormatting sqref="H3:H32">
    <cfRule type="dataBar" priority="2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{C7D15760-901D-4089-841E-9B8DB09BC580}</x14:id>
        </ext>
      </extLst>
    </cfRule>
  </conditionalFormatting>
  <conditionalFormatting sqref="L3:L32">
    <cfRule type="cellIs" priority="3" operator="lessThan" aboveAverage="0" equalAverage="0" bottom="0" percent="0" rank="0" text="" dxfId="6">
      <formula>0.6</formula>
    </cfRule>
    <cfRule type="cellIs" priority="4" operator="greaterThanOrEqual" aboveAverage="0" equalAverage="0" bottom="0" percent="0" rank="0" text="" dxfId="7">
      <formula>0.9</formula>
    </cfRule>
  </conditionalFormatting>
  <conditionalFormatting sqref="G3:G32">
    <cfRule type="cellIs" priority="5" operator="equal" aboveAverage="0" equalAverage="0" bottom="0" percent="0" rank="0" text="" dxfId="6">
      <formula>"Rejected"</formula>
    </cfRule>
    <cfRule type="cellIs" priority="6" operator="equal" aboveAverage="0" equalAverage="0" bottom="0" percent="0" rank="0" text="" dxfId="7">
      <formula>"Opened"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D15760-901D-4089-841E-9B8DB09BC580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H3:H32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7" min="6" style="0" width="12"/>
  </cols>
  <sheetData>
    <row r="2" customFormat="false" ht="15" hidden="false" customHeight="false" outlineLevel="0" collapsed="false">
      <c r="B2" s="12" t="s">
        <v>33</v>
      </c>
      <c r="C2" s="12" t="s">
        <v>34</v>
      </c>
      <c r="D2" s="12" t="s">
        <v>115</v>
      </c>
      <c r="E2" s="12" t="s">
        <v>116</v>
      </c>
      <c r="F2" s="12" t="s">
        <v>38</v>
      </c>
      <c r="G2" s="12" t="s">
        <v>117</v>
      </c>
    </row>
    <row r="3" customFormat="false" ht="15" hidden="false" customHeight="false" outlineLevel="0" collapsed="false">
      <c r="B3" s="9" t="s">
        <v>44</v>
      </c>
      <c r="C3" s="9" t="s">
        <v>45</v>
      </c>
      <c r="D3" s="9" t="s">
        <v>14</v>
      </c>
      <c r="E3" s="9" t="s">
        <v>118</v>
      </c>
      <c r="F3" s="9" t="s">
        <v>119</v>
      </c>
      <c r="G3" s="9" t="s">
        <v>47</v>
      </c>
    </row>
    <row r="4" customFormat="false" ht="15" hidden="false" customHeight="false" outlineLevel="0" collapsed="false">
      <c r="B4" s="9" t="s">
        <v>44</v>
      </c>
      <c r="C4" s="9" t="s">
        <v>45</v>
      </c>
      <c r="D4" s="9" t="s">
        <v>17</v>
      </c>
      <c r="E4" s="9" t="s">
        <v>118</v>
      </c>
      <c r="F4" s="9" t="s">
        <v>120</v>
      </c>
      <c r="G4" s="9" t="s">
        <v>63</v>
      </c>
    </row>
    <row r="5" customFormat="false" ht="15" hidden="false" customHeight="false" outlineLevel="0" collapsed="false">
      <c r="B5" s="9" t="s">
        <v>44</v>
      </c>
      <c r="C5" s="9" t="s">
        <v>45</v>
      </c>
      <c r="D5" s="9" t="s">
        <v>20</v>
      </c>
      <c r="E5" s="9" t="s">
        <v>118</v>
      </c>
      <c r="F5" s="9" t="s">
        <v>119</v>
      </c>
      <c r="G5" s="9" t="s">
        <v>75</v>
      </c>
    </row>
    <row r="6" customFormat="false" ht="15" hidden="false" customHeight="false" outlineLevel="0" collapsed="false">
      <c r="B6" s="9" t="s">
        <v>44</v>
      </c>
      <c r="C6" s="9" t="s">
        <v>45</v>
      </c>
      <c r="D6" s="9" t="s">
        <v>23</v>
      </c>
      <c r="E6" s="9" t="s">
        <v>118</v>
      </c>
      <c r="F6" s="9" t="s">
        <v>119</v>
      </c>
      <c r="G6" s="9" t="s">
        <v>47</v>
      </c>
    </row>
    <row r="7" customFormat="false" ht="15" hidden="false" customHeight="false" outlineLevel="0" collapsed="false">
      <c r="B7" s="9" t="s">
        <v>44</v>
      </c>
      <c r="C7" s="9" t="s">
        <v>45</v>
      </c>
      <c r="D7" s="9" t="s">
        <v>26</v>
      </c>
      <c r="E7" s="9" t="s">
        <v>118</v>
      </c>
      <c r="F7" s="9" t="s">
        <v>119</v>
      </c>
      <c r="G7" s="9" t="s">
        <v>51</v>
      </c>
    </row>
    <row r="8" customFormat="false" ht="15" hidden="false" customHeight="false" outlineLevel="0" collapsed="false">
      <c r="B8" s="9" t="s">
        <v>44</v>
      </c>
      <c r="C8" s="9" t="s">
        <v>45</v>
      </c>
      <c r="D8" s="9" t="s">
        <v>29</v>
      </c>
      <c r="E8" s="9" t="s">
        <v>118</v>
      </c>
      <c r="F8" s="9" t="s">
        <v>119</v>
      </c>
      <c r="G8" s="9" t="s">
        <v>75</v>
      </c>
    </row>
    <row r="9" customFormat="false" ht="15" hidden="false" customHeight="false" outlineLevel="0" collapsed="false">
      <c r="B9" s="9" t="s">
        <v>44</v>
      </c>
      <c r="C9" s="9" t="s">
        <v>45</v>
      </c>
      <c r="D9" s="9" t="s">
        <v>121</v>
      </c>
      <c r="E9" s="9" t="s">
        <v>118</v>
      </c>
      <c r="F9" s="9" t="s">
        <v>119</v>
      </c>
      <c r="G9" s="9" t="s">
        <v>47</v>
      </c>
    </row>
    <row r="10" customFormat="false" ht="15" hidden="false" customHeight="false" outlineLevel="0" collapsed="false">
      <c r="B10" s="9" t="s">
        <v>44</v>
      </c>
      <c r="C10" s="9" t="s">
        <v>45</v>
      </c>
      <c r="D10" s="9" t="s">
        <v>122</v>
      </c>
      <c r="E10" s="9" t="s">
        <v>118</v>
      </c>
      <c r="F10" s="9" t="s">
        <v>119</v>
      </c>
      <c r="G10" s="9" t="s">
        <v>82</v>
      </c>
    </row>
    <row r="11" customFormat="false" ht="15" hidden="false" customHeight="false" outlineLevel="0" collapsed="false">
      <c r="B11" s="9" t="s">
        <v>48</v>
      </c>
      <c r="C11" s="9" t="s">
        <v>49</v>
      </c>
      <c r="D11" s="9" t="s">
        <v>14</v>
      </c>
      <c r="E11" s="9" t="s">
        <v>118</v>
      </c>
      <c r="F11" s="9" t="s">
        <v>119</v>
      </c>
      <c r="G11" s="9" t="s">
        <v>75</v>
      </c>
    </row>
    <row r="12" customFormat="false" ht="15" hidden="false" customHeight="false" outlineLevel="0" collapsed="false">
      <c r="B12" s="9" t="s">
        <v>48</v>
      </c>
      <c r="C12" s="9" t="s">
        <v>49</v>
      </c>
      <c r="D12" s="9" t="s">
        <v>17</v>
      </c>
      <c r="E12" s="9" t="s">
        <v>118</v>
      </c>
      <c r="F12" s="9" t="s">
        <v>123</v>
      </c>
      <c r="G12" s="9" t="s">
        <v>82</v>
      </c>
    </row>
    <row r="13" customFormat="false" ht="15" hidden="false" customHeight="false" outlineLevel="0" collapsed="false">
      <c r="B13" s="9" t="s">
        <v>48</v>
      </c>
      <c r="C13" s="9" t="s">
        <v>49</v>
      </c>
      <c r="D13" s="9" t="s">
        <v>20</v>
      </c>
      <c r="E13" s="9" t="s">
        <v>118</v>
      </c>
      <c r="F13" s="9" t="s">
        <v>119</v>
      </c>
      <c r="G13" s="9" t="s">
        <v>47</v>
      </c>
    </row>
    <row r="14" customFormat="false" ht="15" hidden="false" customHeight="false" outlineLevel="0" collapsed="false">
      <c r="B14" s="9" t="s">
        <v>48</v>
      </c>
      <c r="C14" s="9" t="s">
        <v>49</v>
      </c>
      <c r="D14" s="9" t="s">
        <v>23</v>
      </c>
      <c r="E14" s="9" t="s">
        <v>118</v>
      </c>
      <c r="F14" s="9" t="s">
        <v>119</v>
      </c>
      <c r="G14" s="9" t="s">
        <v>63</v>
      </c>
    </row>
    <row r="15" customFormat="false" ht="15" hidden="false" customHeight="false" outlineLevel="0" collapsed="false">
      <c r="B15" s="9" t="s">
        <v>48</v>
      </c>
      <c r="C15" s="9" t="s">
        <v>49</v>
      </c>
      <c r="D15" s="9" t="s">
        <v>26</v>
      </c>
      <c r="E15" s="9" t="s">
        <v>118</v>
      </c>
      <c r="F15" s="9" t="s">
        <v>123</v>
      </c>
      <c r="G15" s="9" t="s">
        <v>63</v>
      </c>
    </row>
    <row r="16" customFormat="false" ht="15" hidden="false" customHeight="false" outlineLevel="0" collapsed="false">
      <c r="B16" s="9" t="s">
        <v>48</v>
      </c>
      <c r="C16" s="9" t="s">
        <v>49</v>
      </c>
      <c r="D16" s="9" t="s">
        <v>29</v>
      </c>
      <c r="E16" s="9" t="s">
        <v>118</v>
      </c>
      <c r="F16" s="9" t="s">
        <v>120</v>
      </c>
      <c r="G16" s="9" t="s">
        <v>75</v>
      </c>
    </row>
    <row r="17" customFormat="false" ht="15" hidden="false" customHeight="false" outlineLevel="0" collapsed="false">
      <c r="B17" s="9" t="s">
        <v>48</v>
      </c>
      <c r="C17" s="9" t="s">
        <v>49</v>
      </c>
      <c r="D17" s="9" t="s">
        <v>121</v>
      </c>
      <c r="E17" s="9" t="s">
        <v>118</v>
      </c>
      <c r="F17" s="9" t="s">
        <v>119</v>
      </c>
      <c r="G17" s="9" t="s">
        <v>47</v>
      </c>
    </row>
    <row r="18" customFormat="false" ht="15" hidden="false" customHeight="false" outlineLevel="0" collapsed="false">
      <c r="B18" s="9" t="s">
        <v>48</v>
      </c>
      <c r="C18" s="9" t="s">
        <v>49</v>
      </c>
      <c r="D18" s="9" t="s">
        <v>122</v>
      </c>
      <c r="E18" s="9" t="s">
        <v>118</v>
      </c>
      <c r="F18" s="9" t="s">
        <v>120</v>
      </c>
      <c r="G18" s="9" t="s">
        <v>75</v>
      </c>
    </row>
    <row r="19" customFormat="false" ht="15" hidden="false" customHeight="false" outlineLevel="0" collapsed="false">
      <c r="B19" s="9" t="s">
        <v>52</v>
      </c>
      <c r="C19" s="9" t="s">
        <v>53</v>
      </c>
      <c r="D19" s="9" t="s">
        <v>14</v>
      </c>
      <c r="E19" s="9" t="s">
        <v>118</v>
      </c>
      <c r="F19" s="9" t="s">
        <v>120</v>
      </c>
      <c r="G19" s="9" t="s">
        <v>51</v>
      </c>
    </row>
    <row r="20" customFormat="false" ht="15" hidden="false" customHeight="false" outlineLevel="0" collapsed="false">
      <c r="B20" s="9" t="s">
        <v>52</v>
      </c>
      <c r="C20" s="9" t="s">
        <v>53</v>
      </c>
      <c r="D20" s="9" t="s">
        <v>17</v>
      </c>
      <c r="E20" s="9" t="s">
        <v>118</v>
      </c>
      <c r="F20" s="9" t="s">
        <v>120</v>
      </c>
      <c r="G20" s="9" t="s">
        <v>51</v>
      </c>
    </row>
    <row r="21" customFormat="false" ht="15" hidden="false" customHeight="false" outlineLevel="0" collapsed="false">
      <c r="B21" s="9" t="s">
        <v>52</v>
      </c>
      <c r="C21" s="9" t="s">
        <v>53</v>
      </c>
      <c r="D21" s="9" t="s">
        <v>20</v>
      </c>
      <c r="E21" s="9" t="s">
        <v>118</v>
      </c>
      <c r="F21" s="9" t="s">
        <v>123</v>
      </c>
      <c r="G21" s="9" t="s">
        <v>82</v>
      </c>
    </row>
    <row r="22" customFormat="false" ht="15" hidden="false" customHeight="false" outlineLevel="0" collapsed="false">
      <c r="B22" s="9" t="s">
        <v>52</v>
      </c>
      <c r="C22" s="9" t="s">
        <v>53</v>
      </c>
      <c r="D22" s="9" t="s">
        <v>23</v>
      </c>
      <c r="E22" s="9" t="s">
        <v>118</v>
      </c>
      <c r="F22" s="9" t="s">
        <v>119</v>
      </c>
      <c r="G22" s="9" t="s">
        <v>82</v>
      </c>
    </row>
    <row r="23" customFormat="false" ht="15" hidden="false" customHeight="false" outlineLevel="0" collapsed="false">
      <c r="B23" s="9" t="s">
        <v>52</v>
      </c>
      <c r="C23" s="9" t="s">
        <v>53</v>
      </c>
      <c r="D23" s="9" t="s">
        <v>26</v>
      </c>
      <c r="E23" s="9" t="s">
        <v>118</v>
      </c>
      <c r="F23" s="9" t="s">
        <v>123</v>
      </c>
      <c r="G23" s="9" t="s">
        <v>82</v>
      </c>
    </row>
    <row r="24" customFormat="false" ht="15" hidden="false" customHeight="false" outlineLevel="0" collapsed="false">
      <c r="B24" s="9" t="s">
        <v>52</v>
      </c>
      <c r="C24" s="9" t="s">
        <v>53</v>
      </c>
      <c r="D24" s="9" t="s">
        <v>29</v>
      </c>
      <c r="E24" s="9" t="s">
        <v>118</v>
      </c>
      <c r="F24" s="9" t="s">
        <v>119</v>
      </c>
      <c r="G24" s="9" t="s">
        <v>47</v>
      </c>
    </row>
    <row r="25" customFormat="false" ht="15" hidden="false" customHeight="false" outlineLevel="0" collapsed="false">
      <c r="B25" s="9" t="s">
        <v>52</v>
      </c>
      <c r="C25" s="9" t="s">
        <v>53</v>
      </c>
      <c r="D25" s="9" t="s">
        <v>121</v>
      </c>
      <c r="E25" s="9" t="s">
        <v>118</v>
      </c>
      <c r="F25" s="9" t="s">
        <v>120</v>
      </c>
      <c r="G25" s="9" t="s">
        <v>75</v>
      </c>
    </row>
    <row r="26" customFormat="false" ht="15" hidden="false" customHeight="false" outlineLevel="0" collapsed="false">
      <c r="B26" s="9" t="s">
        <v>52</v>
      </c>
      <c r="C26" s="9" t="s">
        <v>53</v>
      </c>
      <c r="D26" s="9" t="s">
        <v>122</v>
      </c>
      <c r="E26" s="9" t="s">
        <v>118</v>
      </c>
      <c r="F26" s="9" t="s">
        <v>120</v>
      </c>
      <c r="G26" s="9" t="s">
        <v>51</v>
      </c>
    </row>
    <row r="27" customFormat="false" ht="15" hidden="false" customHeight="false" outlineLevel="0" collapsed="false">
      <c r="B27" s="9" t="s">
        <v>55</v>
      </c>
      <c r="C27" s="9" t="s">
        <v>56</v>
      </c>
      <c r="D27" s="9" t="s">
        <v>14</v>
      </c>
      <c r="E27" s="9" t="s">
        <v>118</v>
      </c>
      <c r="F27" s="9" t="s">
        <v>119</v>
      </c>
      <c r="G27" s="9" t="s">
        <v>51</v>
      </c>
    </row>
    <row r="28" customFormat="false" ht="15" hidden="false" customHeight="false" outlineLevel="0" collapsed="false">
      <c r="B28" s="9" t="s">
        <v>55</v>
      </c>
      <c r="C28" s="9" t="s">
        <v>56</v>
      </c>
      <c r="D28" s="9" t="s">
        <v>17</v>
      </c>
      <c r="E28" s="9" t="s">
        <v>118</v>
      </c>
      <c r="F28" s="9" t="s">
        <v>120</v>
      </c>
      <c r="G28" s="9" t="s">
        <v>82</v>
      </c>
    </row>
    <row r="29" customFormat="false" ht="15" hidden="false" customHeight="false" outlineLevel="0" collapsed="false">
      <c r="B29" s="9" t="s">
        <v>55</v>
      </c>
      <c r="C29" s="9" t="s">
        <v>56</v>
      </c>
      <c r="D29" s="9" t="s">
        <v>20</v>
      </c>
      <c r="E29" s="9" t="s">
        <v>118</v>
      </c>
      <c r="F29" s="9" t="s">
        <v>119</v>
      </c>
      <c r="G29" s="9" t="s">
        <v>51</v>
      </c>
    </row>
    <row r="30" customFormat="false" ht="15" hidden="false" customHeight="false" outlineLevel="0" collapsed="false">
      <c r="B30" s="9" t="s">
        <v>55</v>
      </c>
      <c r="C30" s="9" t="s">
        <v>56</v>
      </c>
      <c r="D30" s="9" t="s">
        <v>23</v>
      </c>
      <c r="E30" s="9" t="s">
        <v>118</v>
      </c>
      <c r="F30" s="9" t="s">
        <v>120</v>
      </c>
      <c r="G30" s="9" t="s">
        <v>51</v>
      </c>
    </row>
    <row r="31" customFormat="false" ht="15" hidden="false" customHeight="false" outlineLevel="0" collapsed="false">
      <c r="B31" s="9" t="s">
        <v>55</v>
      </c>
      <c r="C31" s="9" t="s">
        <v>56</v>
      </c>
      <c r="D31" s="9" t="s">
        <v>26</v>
      </c>
      <c r="E31" s="9" t="s">
        <v>118</v>
      </c>
      <c r="F31" s="9" t="s">
        <v>120</v>
      </c>
      <c r="G31" s="9" t="s">
        <v>63</v>
      </c>
    </row>
    <row r="32" customFormat="false" ht="15" hidden="false" customHeight="false" outlineLevel="0" collapsed="false">
      <c r="B32" s="9" t="s">
        <v>55</v>
      </c>
      <c r="C32" s="9" t="s">
        <v>56</v>
      </c>
      <c r="D32" s="9" t="s">
        <v>29</v>
      </c>
      <c r="E32" s="9" t="s">
        <v>118</v>
      </c>
      <c r="F32" s="9" t="s">
        <v>120</v>
      </c>
      <c r="G32" s="9" t="s">
        <v>51</v>
      </c>
    </row>
    <row r="33" customFormat="false" ht="15" hidden="false" customHeight="false" outlineLevel="0" collapsed="false">
      <c r="B33" s="9" t="s">
        <v>55</v>
      </c>
      <c r="C33" s="9" t="s">
        <v>56</v>
      </c>
      <c r="D33" s="9" t="s">
        <v>121</v>
      </c>
      <c r="E33" s="9" t="s">
        <v>118</v>
      </c>
      <c r="F33" s="9" t="s">
        <v>119</v>
      </c>
      <c r="G33" s="9" t="s">
        <v>63</v>
      </c>
    </row>
    <row r="34" customFormat="false" ht="15" hidden="false" customHeight="false" outlineLevel="0" collapsed="false">
      <c r="B34" s="9" t="s">
        <v>55</v>
      </c>
      <c r="C34" s="9" t="s">
        <v>56</v>
      </c>
      <c r="D34" s="9" t="s">
        <v>122</v>
      </c>
      <c r="E34" s="9" t="s">
        <v>118</v>
      </c>
      <c r="F34" s="9" t="s">
        <v>119</v>
      </c>
      <c r="G34" s="9" t="s">
        <v>47</v>
      </c>
    </row>
    <row r="35" customFormat="false" ht="15" hidden="false" customHeight="false" outlineLevel="0" collapsed="false">
      <c r="B35" s="9" t="s">
        <v>57</v>
      </c>
      <c r="C35" s="9" t="s">
        <v>58</v>
      </c>
      <c r="D35" s="9" t="s">
        <v>14</v>
      </c>
      <c r="E35" s="9" t="s">
        <v>118</v>
      </c>
      <c r="F35" s="9" t="s">
        <v>120</v>
      </c>
      <c r="G35" s="9" t="s">
        <v>75</v>
      </c>
    </row>
    <row r="36" customFormat="false" ht="15" hidden="false" customHeight="false" outlineLevel="0" collapsed="false">
      <c r="B36" s="9" t="s">
        <v>57</v>
      </c>
      <c r="C36" s="9" t="s">
        <v>58</v>
      </c>
      <c r="D36" s="9" t="s">
        <v>17</v>
      </c>
      <c r="E36" s="9" t="s">
        <v>118</v>
      </c>
      <c r="F36" s="9" t="s">
        <v>119</v>
      </c>
      <c r="G36" s="9" t="s">
        <v>51</v>
      </c>
    </row>
    <row r="37" customFormat="false" ht="15" hidden="false" customHeight="false" outlineLevel="0" collapsed="false">
      <c r="B37" s="9" t="s">
        <v>57</v>
      </c>
      <c r="C37" s="9" t="s">
        <v>58</v>
      </c>
      <c r="D37" s="9" t="s">
        <v>20</v>
      </c>
      <c r="E37" s="9" t="s">
        <v>118</v>
      </c>
      <c r="F37" s="9" t="s">
        <v>119</v>
      </c>
      <c r="G37" s="9" t="s">
        <v>75</v>
      </c>
    </row>
    <row r="38" customFormat="false" ht="15" hidden="false" customHeight="false" outlineLevel="0" collapsed="false">
      <c r="B38" s="9" t="s">
        <v>57</v>
      </c>
      <c r="C38" s="9" t="s">
        <v>58</v>
      </c>
      <c r="D38" s="9" t="s">
        <v>23</v>
      </c>
      <c r="E38" s="9" t="s">
        <v>118</v>
      </c>
      <c r="F38" s="9" t="s">
        <v>119</v>
      </c>
      <c r="G38" s="9" t="s">
        <v>75</v>
      </c>
    </row>
    <row r="39" customFormat="false" ht="15" hidden="false" customHeight="false" outlineLevel="0" collapsed="false">
      <c r="B39" s="9" t="s">
        <v>57</v>
      </c>
      <c r="C39" s="9" t="s">
        <v>58</v>
      </c>
      <c r="D39" s="9" t="s">
        <v>26</v>
      </c>
      <c r="E39" s="9" t="s">
        <v>118</v>
      </c>
      <c r="F39" s="9" t="s">
        <v>120</v>
      </c>
      <c r="G39" s="9" t="s">
        <v>75</v>
      </c>
    </row>
    <row r="40" customFormat="false" ht="15" hidden="false" customHeight="false" outlineLevel="0" collapsed="false">
      <c r="B40" s="9" t="s">
        <v>57</v>
      </c>
      <c r="C40" s="9" t="s">
        <v>58</v>
      </c>
      <c r="D40" s="9" t="s">
        <v>29</v>
      </c>
      <c r="E40" s="9" t="s">
        <v>118</v>
      </c>
      <c r="F40" s="9" t="s">
        <v>119</v>
      </c>
      <c r="G40" s="9" t="s">
        <v>47</v>
      </c>
    </row>
    <row r="41" customFormat="false" ht="15" hidden="false" customHeight="false" outlineLevel="0" collapsed="false">
      <c r="B41" s="9" t="s">
        <v>57</v>
      </c>
      <c r="C41" s="9" t="s">
        <v>58</v>
      </c>
      <c r="D41" s="9" t="s">
        <v>121</v>
      </c>
      <c r="E41" s="9" t="s">
        <v>118</v>
      </c>
      <c r="F41" s="9" t="s">
        <v>119</v>
      </c>
      <c r="G41" s="9" t="s">
        <v>51</v>
      </c>
    </row>
    <row r="42" customFormat="false" ht="15" hidden="false" customHeight="false" outlineLevel="0" collapsed="false">
      <c r="B42" s="9" t="s">
        <v>57</v>
      </c>
      <c r="C42" s="9" t="s">
        <v>58</v>
      </c>
      <c r="D42" s="9" t="s">
        <v>122</v>
      </c>
      <c r="E42" s="9" t="s">
        <v>118</v>
      </c>
      <c r="F42" s="9" t="s">
        <v>119</v>
      </c>
      <c r="G42" s="9" t="s">
        <v>63</v>
      </c>
    </row>
    <row r="43" customFormat="false" ht="15" hidden="false" customHeight="false" outlineLevel="0" collapsed="false">
      <c r="B43" s="9" t="s">
        <v>60</v>
      </c>
      <c r="C43" s="9" t="s">
        <v>61</v>
      </c>
      <c r="D43" s="9" t="s">
        <v>14</v>
      </c>
      <c r="E43" s="9" t="s">
        <v>118</v>
      </c>
      <c r="F43" s="9" t="s">
        <v>120</v>
      </c>
      <c r="G43" s="9" t="s">
        <v>82</v>
      </c>
    </row>
    <row r="44" customFormat="false" ht="15" hidden="false" customHeight="false" outlineLevel="0" collapsed="false">
      <c r="B44" s="9" t="s">
        <v>60</v>
      </c>
      <c r="C44" s="9" t="s">
        <v>61</v>
      </c>
      <c r="D44" s="9" t="s">
        <v>17</v>
      </c>
      <c r="E44" s="9" t="s">
        <v>118</v>
      </c>
      <c r="F44" s="9" t="s">
        <v>120</v>
      </c>
      <c r="G44" s="9" t="s">
        <v>63</v>
      </c>
    </row>
    <row r="45" customFormat="false" ht="15" hidden="false" customHeight="false" outlineLevel="0" collapsed="false">
      <c r="B45" s="9" t="s">
        <v>60</v>
      </c>
      <c r="C45" s="9" t="s">
        <v>61</v>
      </c>
      <c r="D45" s="9" t="s">
        <v>20</v>
      </c>
      <c r="E45" s="9" t="s">
        <v>118</v>
      </c>
      <c r="F45" s="9" t="s">
        <v>123</v>
      </c>
      <c r="G45" s="9" t="s">
        <v>75</v>
      </c>
    </row>
    <row r="46" customFormat="false" ht="15" hidden="false" customHeight="false" outlineLevel="0" collapsed="false">
      <c r="B46" s="9" t="s">
        <v>60</v>
      </c>
      <c r="C46" s="9" t="s">
        <v>61</v>
      </c>
      <c r="D46" s="9" t="s">
        <v>23</v>
      </c>
      <c r="E46" s="9" t="s">
        <v>118</v>
      </c>
      <c r="F46" s="9" t="s">
        <v>120</v>
      </c>
      <c r="G46" s="9" t="s">
        <v>47</v>
      </c>
    </row>
    <row r="47" customFormat="false" ht="15" hidden="false" customHeight="false" outlineLevel="0" collapsed="false">
      <c r="B47" s="9" t="s">
        <v>60</v>
      </c>
      <c r="C47" s="9" t="s">
        <v>61</v>
      </c>
      <c r="D47" s="9" t="s">
        <v>26</v>
      </c>
      <c r="E47" s="9" t="s">
        <v>118</v>
      </c>
      <c r="F47" s="9" t="s">
        <v>120</v>
      </c>
      <c r="G47" s="9" t="s">
        <v>47</v>
      </c>
    </row>
    <row r="48" customFormat="false" ht="15" hidden="false" customHeight="false" outlineLevel="0" collapsed="false">
      <c r="B48" s="9" t="s">
        <v>60</v>
      </c>
      <c r="C48" s="9" t="s">
        <v>61</v>
      </c>
      <c r="D48" s="9" t="s">
        <v>29</v>
      </c>
      <c r="E48" s="9" t="s">
        <v>118</v>
      </c>
      <c r="F48" s="9" t="s">
        <v>123</v>
      </c>
      <c r="G48" s="9" t="s">
        <v>51</v>
      </c>
    </row>
    <row r="49" customFormat="false" ht="15" hidden="false" customHeight="false" outlineLevel="0" collapsed="false">
      <c r="B49" s="9" t="s">
        <v>60</v>
      </c>
      <c r="C49" s="9" t="s">
        <v>61</v>
      </c>
      <c r="D49" s="9" t="s">
        <v>121</v>
      </c>
      <c r="E49" s="9" t="s">
        <v>118</v>
      </c>
      <c r="F49" s="9" t="s">
        <v>120</v>
      </c>
      <c r="G49" s="9" t="s">
        <v>51</v>
      </c>
    </row>
    <row r="50" customFormat="false" ht="15" hidden="false" customHeight="false" outlineLevel="0" collapsed="false">
      <c r="B50" s="9" t="s">
        <v>60</v>
      </c>
      <c r="C50" s="9" t="s">
        <v>61</v>
      </c>
      <c r="D50" s="9" t="s">
        <v>122</v>
      </c>
      <c r="E50" s="9" t="s">
        <v>118</v>
      </c>
      <c r="F50" s="9" t="s">
        <v>119</v>
      </c>
      <c r="G50" s="9" t="s">
        <v>75</v>
      </c>
    </row>
    <row r="51" customFormat="false" ht="15" hidden="false" customHeight="false" outlineLevel="0" collapsed="false">
      <c r="B51" s="9" t="s">
        <v>64</v>
      </c>
      <c r="C51" s="9" t="s">
        <v>65</v>
      </c>
      <c r="D51" s="9" t="s">
        <v>14</v>
      </c>
      <c r="E51" s="9" t="s">
        <v>118</v>
      </c>
      <c r="F51" s="9" t="s">
        <v>119</v>
      </c>
      <c r="G51" s="9" t="s">
        <v>63</v>
      </c>
    </row>
    <row r="52" customFormat="false" ht="15" hidden="false" customHeight="false" outlineLevel="0" collapsed="false">
      <c r="B52" s="9" t="s">
        <v>64</v>
      </c>
      <c r="C52" s="9" t="s">
        <v>65</v>
      </c>
      <c r="D52" s="9" t="s">
        <v>17</v>
      </c>
      <c r="E52" s="9" t="s">
        <v>118</v>
      </c>
      <c r="F52" s="9" t="s">
        <v>120</v>
      </c>
      <c r="G52" s="9" t="s">
        <v>47</v>
      </c>
    </row>
    <row r="53" customFormat="false" ht="15" hidden="false" customHeight="false" outlineLevel="0" collapsed="false">
      <c r="B53" s="9" t="s">
        <v>64</v>
      </c>
      <c r="C53" s="9" t="s">
        <v>65</v>
      </c>
      <c r="D53" s="9" t="s">
        <v>20</v>
      </c>
      <c r="E53" s="9" t="s">
        <v>118</v>
      </c>
      <c r="F53" s="9" t="s">
        <v>120</v>
      </c>
      <c r="G53" s="9" t="s">
        <v>51</v>
      </c>
    </row>
    <row r="54" customFormat="false" ht="15" hidden="false" customHeight="false" outlineLevel="0" collapsed="false">
      <c r="B54" s="9" t="s">
        <v>64</v>
      </c>
      <c r="C54" s="9" t="s">
        <v>65</v>
      </c>
      <c r="D54" s="9" t="s">
        <v>23</v>
      </c>
      <c r="E54" s="9" t="s">
        <v>118</v>
      </c>
      <c r="F54" s="9" t="s">
        <v>123</v>
      </c>
      <c r="G54" s="9" t="s">
        <v>47</v>
      </c>
    </row>
    <row r="55" customFormat="false" ht="15" hidden="false" customHeight="false" outlineLevel="0" collapsed="false">
      <c r="B55" s="9" t="s">
        <v>64</v>
      </c>
      <c r="C55" s="9" t="s">
        <v>65</v>
      </c>
      <c r="D55" s="9" t="s">
        <v>26</v>
      </c>
      <c r="E55" s="9" t="s">
        <v>118</v>
      </c>
      <c r="F55" s="9" t="s">
        <v>119</v>
      </c>
      <c r="G55" s="9" t="s">
        <v>63</v>
      </c>
    </row>
    <row r="56" customFormat="false" ht="15" hidden="false" customHeight="false" outlineLevel="0" collapsed="false">
      <c r="B56" s="9" t="s">
        <v>64</v>
      </c>
      <c r="C56" s="9" t="s">
        <v>65</v>
      </c>
      <c r="D56" s="9" t="s">
        <v>29</v>
      </c>
      <c r="E56" s="9" t="s">
        <v>118</v>
      </c>
      <c r="F56" s="9" t="s">
        <v>120</v>
      </c>
      <c r="G56" s="9" t="s">
        <v>51</v>
      </c>
    </row>
    <row r="57" customFormat="false" ht="15" hidden="false" customHeight="false" outlineLevel="0" collapsed="false">
      <c r="B57" s="9" t="s">
        <v>64</v>
      </c>
      <c r="C57" s="9" t="s">
        <v>65</v>
      </c>
      <c r="D57" s="9" t="s">
        <v>121</v>
      </c>
      <c r="E57" s="9" t="s">
        <v>118</v>
      </c>
      <c r="F57" s="9" t="s">
        <v>120</v>
      </c>
      <c r="G57" s="9" t="s">
        <v>82</v>
      </c>
    </row>
    <row r="58" customFormat="false" ht="15" hidden="false" customHeight="false" outlineLevel="0" collapsed="false">
      <c r="B58" s="9" t="s">
        <v>64</v>
      </c>
      <c r="C58" s="9" t="s">
        <v>65</v>
      </c>
      <c r="D58" s="9" t="s">
        <v>122</v>
      </c>
      <c r="E58" s="9" t="s">
        <v>118</v>
      </c>
      <c r="F58" s="9" t="s">
        <v>123</v>
      </c>
      <c r="G58" s="9" t="s">
        <v>75</v>
      </c>
    </row>
    <row r="59" customFormat="false" ht="15" hidden="false" customHeight="false" outlineLevel="0" collapsed="false">
      <c r="B59" s="9" t="s">
        <v>66</v>
      </c>
      <c r="C59" s="9" t="s">
        <v>67</v>
      </c>
      <c r="D59" s="9" t="s">
        <v>14</v>
      </c>
      <c r="E59" s="9" t="s">
        <v>118</v>
      </c>
      <c r="F59" s="9" t="s">
        <v>119</v>
      </c>
      <c r="G59" s="9" t="s">
        <v>82</v>
      </c>
    </row>
    <row r="60" customFormat="false" ht="15" hidden="false" customHeight="false" outlineLevel="0" collapsed="false">
      <c r="B60" s="9" t="s">
        <v>66</v>
      </c>
      <c r="C60" s="9" t="s">
        <v>67</v>
      </c>
      <c r="D60" s="9" t="s">
        <v>17</v>
      </c>
      <c r="E60" s="9" t="s">
        <v>118</v>
      </c>
      <c r="F60" s="9" t="s">
        <v>119</v>
      </c>
      <c r="G60" s="9" t="s">
        <v>47</v>
      </c>
    </row>
    <row r="61" customFormat="false" ht="15" hidden="false" customHeight="false" outlineLevel="0" collapsed="false">
      <c r="B61" s="9" t="s">
        <v>66</v>
      </c>
      <c r="C61" s="9" t="s">
        <v>67</v>
      </c>
      <c r="D61" s="9" t="s">
        <v>20</v>
      </c>
      <c r="E61" s="9" t="s">
        <v>118</v>
      </c>
      <c r="F61" s="9" t="s">
        <v>120</v>
      </c>
      <c r="G61" s="9" t="s">
        <v>47</v>
      </c>
    </row>
    <row r="62" customFormat="false" ht="15" hidden="false" customHeight="false" outlineLevel="0" collapsed="false">
      <c r="B62" s="9" t="s">
        <v>66</v>
      </c>
      <c r="C62" s="9" t="s">
        <v>67</v>
      </c>
      <c r="D62" s="9" t="s">
        <v>23</v>
      </c>
      <c r="E62" s="9" t="s">
        <v>118</v>
      </c>
      <c r="F62" s="9" t="s">
        <v>120</v>
      </c>
      <c r="G62" s="9" t="s">
        <v>51</v>
      </c>
    </row>
    <row r="63" customFormat="false" ht="15" hidden="false" customHeight="false" outlineLevel="0" collapsed="false">
      <c r="B63" s="9" t="s">
        <v>66</v>
      </c>
      <c r="C63" s="9" t="s">
        <v>67</v>
      </c>
      <c r="D63" s="9" t="s">
        <v>26</v>
      </c>
      <c r="E63" s="9" t="s">
        <v>118</v>
      </c>
      <c r="F63" s="9" t="s">
        <v>119</v>
      </c>
      <c r="G63" s="9" t="s">
        <v>51</v>
      </c>
    </row>
    <row r="64" customFormat="false" ht="15" hidden="false" customHeight="false" outlineLevel="0" collapsed="false">
      <c r="B64" s="9" t="s">
        <v>66</v>
      </c>
      <c r="C64" s="9" t="s">
        <v>67</v>
      </c>
      <c r="D64" s="9" t="s">
        <v>29</v>
      </c>
      <c r="E64" s="9" t="s">
        <v>118</v>
      </c>
      <c r="F64" s="9" t="s">
        <v>120</v>
      </c>
      <c r="G64" s="9" t="s">
        <v>51</v>
      </c>
    </row>
    <row r="65" customFormat="false" ht="15" hidden="false" customHeight="false" outlineLevel="0" collapsed="false">
      <c r="B65" s="9" t="s">
        <v>66</v>
      </c>
      <c r="C65" s="9" t="s">
        <v>67</v>
      </c>
      <c r="D65" s="9" t="s">
        <v>121</v>
      </c>
      <c r="E65" s="9" t="s">
        <v>118</v>
      </c>
      <c r="F65" s="9" t="s">
        <v>119</v>
      </c>
      <c r="G65" s="9" t="s">
        <v>51</v>
      </c>
    </row>
    <row r="66" customFormat="false" ht="15" hidden="false" customHeight="false" outlineLevel="0" collapsed="false">
      <c r="B66" s="9" t="s">
        <v>66</v>
      </c>
      <c r="C66" s="9" t="s">
        <v>67</v>
      </c>
      <c r="D66" s="9" t="s">
        <v>122</v>
      </c>
      <c r="E66" s="9" t="s">
        <v>118</v>
      </c>
      <c r="F66" s="9" t="s">
        <v>119</v>
      </c>
      <c r="G66" s="9" t="s">
        <v>51</v>
      </c>
    </row>
    <row r="67" customFormat="false" ht="15" hidden="false" customHeight="false" outlineLevel="0" collapsed="false">
      <c r="B67" s="9" t="s">
        <v>68</v>
      </c>
      <c r="C67" s="9" t="s">
        <v>49</v>
      </c>
      <c r="D67" s="9" t="s">
        <v>14</v>
      </c>
      <c r="E67" s="9" t="s">
        <v>118</v>
      </c>
      <c r="F67" s="9" t="s">
        <v>119</v>
      </c>
      <c r="G67" s="9" t="s">
        <v>75</v>
      </c>
    </row>
    <row r="68" customFormat="false" ht="15" hidden="false" customHeight="false" outlineLevel="0" collapsed="false">
      <c r="B68" s="9" t="s">
        <v>68</v>
      </c>
      <c r="C68" s="9" t="s">
        <v>49</v>
      </c>
      <c r="D68" s="9" t="s">
        <v>17</v>
      </c>
      <c r="E68" s="9" t="s">
        <v>118</v>
      </c>
      <c r="F68" s="9" t="s">
        <v>119</v>
      </c>
      <c r="G68" s="9" t="s">
        <v>63</v>
      </c>
    </row>
    <row r="69" customFormat="false" ht="15" hidden="false" customHeight="false" outlineLevel="0" collapsed="false">
      <c r="B69" s="9" t="s">
        <v>68</v>
      </c>
      <c r="C69" s="9" t="s">
        <v>49</v>
      </c>
      <c r="D69" s="9" t="s">
        <v>20</v>
      </c>
      <c r="E69" s="9" t="s">
        <v>118</v>
      </c>
      <c r="F69" s="9" t="s">
        <v>119</v>
      </c>
      <c r="G69" s="9" t="s">
        <v>47</v>
      </c>
    </row>
    <row r="70" customFormat="false" ht="15" hidden="false" customHeight="false" outlineLevel="0" collapsed="false">
      <c r="B70" s="9" t="s">
        <v>68</v>
      </c>
      <c r="C70" s="9" t="s">
        <v>49</v>
      </c>
      <c r="D70" s="9" t="s">
        <v>23</v>
      </c>
      <c r="E70" s="9" t="s">
        <v>118</v>
      </c>
      <c r="F70" s="9" t="s">
        <v>119</v>
      </c>
      <c r="G70" s="9" t="s">
        <v>75</v>
      </c>
    </row>
    <row r="71" customFormat="false" ht="15" hidden="false" customHeight="false" outlineLevel="0" collapsed="false">
      <c r="B71" s="9" t="s">
        <v>68</v>
      </c>
      <c r="C71" s="9" t="s">
        <v>49</v>
      </c>
      <c r="D71" s="9" t="s">
        <v>26</v>
      </c>
      <c r="E71" s="9" t="s">
        <v>118</v>
      </c>
      <c r="F71" s="9" t="s">
        <v>119</v>
      </c>
      <c r="G71" s="9" t="s">
        <v>82</v>
      </c>
    </row>
    <row r="72" customFormat="false" ht="15" hidden="false" customHeight="false" outlineLevel="0" collapsed="false">
      <c r="B72" s="9" t="s">
        <v>68</v>
      </c>
      <c r="C72" s="9" t="s">
        <v>49</v>
      </c>
      <c r="D72" s="9" t="s">
        <v>29</v>
      </c>
      <c r="E72" s="9" t="s">
        <v>118</v>
      </c>
      <c r="F72" s="9" t="s">
        <v>119</v>
      </c>
      <c r="G72" s="9" t="s">
        <v>82</v>
      </c>
    </row>
    <row r="73" customFormat="false" ht="15" hidden="false" customHeight="false" outlineLevel="0" collapsed="false">
      <c r="B73" s="9" t="s">
        <v>68</v>
      </c>
      <c r="C73" s="9" t="s">
        <v>49</v>
      </c>
      <c r="D73" s="9" t="s">
        <v>121</v>
      </c>
      <c r="E73" s="9" t="s">
        <v>118</v>
      </c>
      <c r="F73" s="9" t="s">
        <v>119</v>
      </c>
      <c r="G73" s="9" t="s">
        <v>82</v>
      </c>
    </row>
    <row r="74" customFormat="false" ht="15" hidden="false" customHeight="false" outlineLevel="0" collapsed="false">
      <c r="B74" s="9" t="s">
        <v>68</v>
      </c>
      <c r="C74" s="9" t="s">
        <v>49</v>
      </c>
      <c r="D74" s="9" t="s">
        <v>122</v>
      </c>
      <c r="E74" s="9" t="s">
        <v>118</v>
      </c>
      <c r="F74" s="9" t="s">
        <v>119</v>
      </c>
      <c r="G74" s="9" t="s">
        <v>51</v>
      </c>
    </row>
    <row r="75" customFormat="false" ht="15" hidden="false" customHeight="false" outlineLevel="0" collapsed="false">
      <c r="B75" s="9" t="s">
        <v>69</v>
      </c>
      <c r="C75" s="9" t="s">
        <v>70</v>
      </c>
      <c r="D75" s="9" t="s">
        <v>14</v>
      </c>
      <c r="E75" s="9" t="s">
        <v>118</v>
      </c>
      <c r="F75" s="9" t="s">
        <v>120</v>
      </c>
      <c r="G75" s="9" t="s">
        <v>47</v>
      </c>
    </row>
    <row r="76" customFormat="false" ht="15" hidden="false" customHeight="false" outlineLevel="0" collapsed="false">
      <c r="B76" s="9" t="s">
        <v>69</v>
      </c>
      <c r="C76" s="9" t="s">
        <v>70</v>
      </c>
      <c r="D76" s="9" t="s">
        <v>17</v>
      </c>
      <c r="E76" s="9" t="s">
        <v>118</v>
      </c>
      <c r="F76" s="9" t="s">
        <v>120</v>
      </c>
      <c r="G76" s="9" t="s">
        <v>51</v>
      </c>
    </row>
    <row r="77" customFormat="false" ht="15" hidden="false" customHeight="false" outlineLevel="0" collapsed="false">
      <c r="B77" s="9" t="s">
        <v>69</v>
      </c>
      <c r="C77" s="9" t="s">
        <v>70</v>
      </c>
      <c r="D77" s="9" t="s">
        <v>20</v>
      </c>
      <c r="E77" s="9" t="s">
        <v>118</v>
      </c>
      <c r="F77" s="9" t="s">
        <v>120</v>
      </c>
      <c r="G77" s="9" t="s">
        <v>51</v>
      </c>
    </row>
    <row r="78" customFormat="false" ht="15" hidden="false" customHeight="false" outlineLevel="0" collapsed="false">
      <c r="B78" s="9" t="s">
        <v>69</v>
      </c>
      <c r="C78" s="9" t="s">
        <v>70</v>
      </c>
      <c r="D78" s="9" t="s">
        <v>23</v>
      </c>
      <c r="E78" s="9" t="s">
        <v>118</v>
      </c>
      <c r="F78" s="9" t="s">
        <v>119</v>
      </c>
      <c r="G78" s="9" t="s">
        <v>63</v>
      </c>
    </row>
    <row r="79" customFormat="false" ht="15" hidden="false" customHeight="false" outlineLevel="0" collapsed="false">
      <c r="B79" s="9" t="s">
        <v>69</v>
      </c>
      <c r="C79" s="9" t="s">
        <v>70</v>
      </c>
      <c r="D79" s="9" t="s">
        <v>26</v>
      </c>
      <c r="E79" s="9" t="s">
        <v>118</v>
      </c>
      <c r="F79" s="9" t="s">
        <v>120</v>
      </c>
      <c r="G79" s="9" t="s">
        <v>47</v>
      </c>
    </row>
    <row r="80" customFormat="false" ht="15" hidden="false" customHeight="false" outlineLevel="0" collapsed="false">
      <c r="B80" s="9" t="s">
        <v>69</v>
      </c>
      <c r="C80" s="9" t="s">
        <v>70</v>
      </c>
      <c r="D80" s="9" t="s">
        <v>29</v>
      </c>
      <c r="E80" s="9" t="s">
        <v>118</v>
      </c>
      <c r="F80" s="9" t="s">
        <v>120</v>
      </c>
      <c r="G80" s="9" t="s">
        <v>75</v>
      </c>
    </row>
    <row r="81" customFormat="false" ht="15" hidden="false" customHeight="false" outlineLevel="0" collapsed="false">
      <c r="B81" s="9" t="s">
        <v>69</v>
      </c>
      <c r="C81" s="9" t="s">
        <v>70</v>
      </c>
      <c r="D81" s="9" t="s">
        <v>121</v>
      </c>
      <c r="E81" s="9" t="s">
        <v>118</v>
      </c>
      <c r="F81" s="9" t="s">
        <v>120</v>
      </c>
      <c r="G81" s="9" t="s">
        <v>82</v>
      </c>
    </row>
    <row r="82" customFormat="false" ht="15" hidden="false" customHeight="false" outlineLevel="0" collapsed="false">
      <c r="B82" s="9" t="s">
        <v>69</v>
      </c>
      <c r="C82" s="9" t="s">
        <v>70</v>
      </c>
      <c r="D82" s="9" t="s">
        <v>122</v>
      </c>
      <c r="E82" s="9" t="s">
        <v>118</v>
      </c>
      <c r="F82" s="9" t="s">
        <v>120</v>
      </c>
      <c r="G82" s="9" t="s">
        <v>47</v>
      </c>
    </row>
    <row r="83" customFormat="false" ht="15" hidden="false" customHeight="false" outlineLevel="0" collapsed="false">
      <c r="B83" s="9" t="s">
        <v>71</v>
      </c>
      <c r="C83" s="9" t="s">
        <v>72</v>
      </c>
      <c r="D83" s="9" t="s">
        <v>14</v>
      </c>
      <c r="E83" s="9" t="s">
        <v>118</v>
      </c>
      <c r="F83" s="9" t="s">
        <v>119</v>
      </c>
      <c r="G83" s="9" t="s">
        <v>47</v>
      </c>
    </row>
    <row r="84" customFormat="false" ht="15" hidden="false" customHeight="false" outlineLevel="0" collapsed="false">
      <c r="B84" s="9" t="s">
        <v>71</v>
      </c>
      <c r="C84" s="9" t="s">
        <v>72</v>
      </c>
      <c r="D84" s="9" t="s">
        <v>17</v>
      </c>
      <c r="E84" s="9" t="s">
        <v>118</v>
      </c>
      <c r="F84" s="9" t="s">
        <v>119</v>
      </c>
      <c r="G84" s="9" t="s">
        <v>75</v>
      </c>
    </row>
    <row r="85" customFormat="false" ht="15" hidden="false" customHeight="false" outlineLevel="0" collapsed="false">
      <c r="B85" s="9" t="s">
        <v>71</v>
      </c>
      <c r="C85" s="9" t="s">
        <v>72</v>
      </c>
      <c r="D85" s="9" t="s">
        <v>20</v>
      </c>
      <c r="E85" s="9" t="s">
        <v>118</v>
      </c>
      <c r="F85" s="9" t="s">
        <v>119</v>
      </c>
      <c r="G85" s="9" t="s">
        <v>47</v>
      </c>
    </row>
    <row r="86" customFormat="false" ht="15" hidden="false" customHeight="false" outlineLevel="0" collapsed="false">
      <c r="B86" s="9" t="s">
        <v>71</v>
      </c>
      <c r="C86" s="9" t="s">
        <v>72</v>
      </c>
      <c r="D86" s="9" t="s">
        <v>23</v>
      </c>
      <c r="E86" s="9" t="s">
        <v>118</v>
      </c>
      <c r="F86" s="9" t="s">
        <v>119</v>
      </c>
      <c r="G86" s="9" t="s">
        <v>82</v>
      </c>
    </row>
    <row r="87" customFormat="false" ht="15" hidden="false" customHeight="false" outlineLevel="0" collapsed="false">
      <c r="B87" s="9" t="s">
        <v>71</v>
      </c>
      <c r="C87" s="9" t="s">
        <v>72</v>
      </c>
      <c r="D87" s="9" t="s">
        <v>26</v>
      </c>
      <c r="E87" s="9" t="s">
        <v>118</v>
      </c>
      <c r="F87" s="9" t="s">
        <v>119</v>
      </c>
      <c r="G87" s="9" t="s">
        <v>47</v>
      </c>
    </row>
    <row r="88" customFormat="false" ht="15" hidden="false" customHeight="false" outlineLevel="0" collapsed="false">
      <c r="B88" s="9" t="s">
        <v>71</v>
      </c>
      <c r="C88" s="9" t="s">
        <v>72</v>
      </c>
      <c r="D88" s="9" t="s">
        <v>29</v>
      </c>
      <c r="E88" s="9" t="s">
        <v>118</v>
      </c>
      <c r="F88" s="9" t="s">
        <v>119</v>
      </c>
      <c r="G88" s="9" t="s">
        <v>82</v>
      </c>
    </row>
    <row r="89" customFormat="false" ht="15" hidden="false" customHeight="false" outlineLevel="0" collapsed="false">
      <c r="B89" s="9" t="s">
        <v>71</v>
      </c>
      <c r="C89" s="9" t="s">
        <v>72</v>
      </c>
      <c r="D89" s="9" t="s">
        <v>121</v>
      </c>
      <c r="E89" s="9" t="s">
        <v>118</v>
      </c>
      <c r="F89" s="9" t="s">
        <v>120</v>
      </c>
      <c r="G89" s="9" t="s">
        <v>82</v>
      </c>
    </row>
    <row r="90" customFormat="false" ht="15" hidden="false" customHeight="false" outlineLevel="0" collapsed="false">
      <c r="B90" s="9" t="s">
        <v>71</v>
      </c>
      <c r="C90" s="9" t="s">
        <v>72</v>
      </c>
      <c r="D90" s="9" t="s">
        <v>122</v>
      </c>
      <c r="E90" s="9" t="s">
        <v>118</v>
      </c>
      <c r="F90" s="9" t="s">
        <v>119</v>
      </c>
      <c r="G90" s="9" t="s">
        <v>75</v>
      </c>
    </row>
    <row r="91" customFormat="false" ht="15" hidden="false" customHeight="false" outlineLevel="0" collapsed="false">
      <c r="B91" s="9" t="s">
        <v>73</v>
      </c>
      <c r="C91" s="9" t="s">
        <v>74</v>
      </c>
      <c r="D91" s="9" t="s">
        <v>14</v>
      </c>
      <c r="E91" s="9" t="s">
        <v>118</v>
      </c>
      <c r="F91" s="9" t="s">
        <v>120</v>
      </c>
      <c r="G91" s="9" t="s">
        <v>82</v>
      </c>
    </row>
    <row r="92" customFormat="false" ht="15" hidden="false" customHeight="false" outlineLevel="0" collapsed="false">
      <c r="B92" s="9" t="s">
        <v>73</v>
      </c>
      <c r="C92" s="9" t="s">
        <v>74</v>
      </c>
      <c r="D92" s="9" t="s">
        <v>17</v>
      </c>
      <c r="E92" s="9" t="s">
        <v>118</v>
      </c>
      <c r="F92" s="9" t="s">
        <v>120</v>
      </c>
      <c r="G92" s="9" t="s">
        <v>82</v>
      </c>
    </row>
    <row r="93" customFormat="false" ht="15" hidden="false" customHeight="false" outlineLevel="0" collapsed="false">
      <c r="B93" s="9" t="s">
        <v>73</v>
      </c>
      <c r="C93" s="9" t="s">
        <v>74</v>
      </c>
      <c r="D93" s="9" t="s">
        <v>20</v>
      </c>
      <c r="E93" s="9" t="s">
        <v>118</v>
      </c>
      <c r="F93" s="9" t="s">
        <v>123</v>
      </c>
      <c r="G93" s="9" t="s">
        <v>82</v>
      </c>
    </row>
    <row r="94" customFormat="false" ht="15" hidden="false" customHeight="false" outlineLevel="0" collapsed="false">
      <c r="B94" s="9" t="s">
        <v>73</v>
      </c>
      <c r="C94" s="9" t="s">
        <v>74</v>
      </c>
      <c r="D94" s="9" t="s">
        <v>23</v>
      </c>
      <c r="E94" s="9" t="s">
        <v>118</v>
      </c>
      <c r="F94" s="9" t="s">
        <v>120</v>
      </c>
      <c r="G94" s="9" t="s">
        <v>75</v>
      </c>
    </row>
    <row r="95" customFormat="false" ht="15" hidden="false" customHeight="false" outlineLevel="0" collapsed="false">
      <c r="B95" s="9" t="s">
        <v>73</v>
      </c>
      <c r="C95" s="9" t="s">
        <v>74</v>
      </c>
      <c r="D95" s="9" t="s">
        <v>26</v>
      </c>
      <c r="E95" s="9" t="s">
        <v>118</v>
      </c>
      <c r="F95" s="9" t="s">
        <v>123</v>
      </c>
      <c r="G95" s="9" t="s">
        <v>51</v>
      </c>
    </row>
    <row r="96" customFormat="false" ht="15" hidden="false" customHeight="false" outlineLevel="0" collapsed="false">
      <c r="B96" s="9" t="s">
        <v>73</v>
      </c>
      <c r="C96" s="9" t="s">
        <v>74</v>
      </c>
      <c r="D96" s="9" t="s">
        <v>29</v>
      </c>
      <c r="E96" s="9" t="s">
        <v>118</v>
      </c>
      <c r="F96" s="9" t="s">
        <v>120</v>
      </c>
      <c r="G96" s="9" t="s">
        <v>51</v>
      </c>
    </row>
    <row r="97" customFormat="false" ht="15" hidden="false" customHeight="false" outlineLevel="0" collapsed="false">
      <c r="B97" s="9" t="s">
        <v>73</v>
      </c>
      <c r="C97" s="9" t="s">
        <v>74</v>
      </c>
      <c r="D97" s="9" t="s">
        <v>121</v>
      </c>
      <c r="E97" s="9" t="s">
        <v>118</v>
      </c>
      <c r="F97" s="9" t="s">
        <v>119</v>
      </c>
      <c r="G97" s="9" t="s">
        <v>63</v>
      </c>
    </row>
    <row r="98" customFormat="false" ht="15" hidden="false" customHeight="false" outlineLevel="0" collapsed="false">
      <c r="B98" s="9" t="s">
        <v>73</v>
      </c>
      <c r="C98" s="9" t="s">
        <v>74</v>
      </c>
      <c r="D98" s="9" t="s">
        <v>122</v>
      </c>
      <c r="E98" s="9" t="s">
        <v>118</v>
      </c>
      <c r="F98" s="9" t="s">
        <v>119</v>
      </c>
      <c r="G98" s="9" t="s">
        <v>47</v>
      </c>
    </row>
    <row r="99" customFormat="false" ht="15" hidden="false" customHeight="false" outlineLevel="0" collapsed="false">
      <c r="B99" s="9" t="s">
        <v>76</v>
      </c>
      <c r="C99" s="9" t="s">
        <v>77</v>
      </c>
      <c r="D99" s="9" t="s">
        <v>14</v>
      </c>
      <c r="E99" s="9" t="s">
        <v>118</v>
      </c>
      <c r="F99" s="9" t="s">
        <v>120</v>
      </c>
      <c r="G99" s="9" t="s">
        <v>63</v>
      </c>
    </row>
    <row r="100" customFormat="false" ht="15" hidden="false" customHeight="false" outlineLevel="0" collapsed="false">
      <c r="B100" s="9" t="s">
        <v>76</v>
      </c>
      <c r="C100" s="9" t="s">
        <v>77</v>
      </c>
      <c r="D100" s="9" t="s">
        <v>17</v>
      </c>
      <c r="E100" s="9" t="s">
        <v>118</v>
      </c>
      <c r="F100" s="9" t="s">
        <v>119</v>
      </c>
      <c r="G100" s="9" t="s">
        <v>75</v>
      </c>
    </row>
    <row r="101" customFormat="false" ht="15" hidden="false" customHeight="false" outlineLevel="0" collapsed="false">
      <c r="B101" s="9" t="s">
        <v>76</v>
      </c>
      <c r="C101" s="9" t="s">
        <v>77</v>
      </c>
      <c r="D101" s="9" t="s">
        <v>20</v>
      </c>
      <c r="E101" s="9" t="s">
        <v>118</v>
      </c>
      <c r="F101" s="9" t="s">
        <v>120</v>
      </c>
      <c r="G101" s="9" t="s">
        <v>51</v>
      </c>
    </row>
    <row r="102" customFormat="false" ht="15" hidden="false" customHeight="false" outlineLevel="0" collapsed="false">
      <c r="B102" s="9" t="s">
        <v>76</v>
      </c>
      <c r="C102" s="9" t="s">
        <v>77</v>
      </c>
      <c r="D102" s="9" t="s">
        <v>23</v>
      </c>
      <c r="E102" s="9" t="s">
        <v>118</v>
      </c>
      <c r="F102" s="9" t="s">
        <v>123</v>
      </c>
      <c r="G102" s="9" t="s">
        <v>75</v>
      </c>
    </row>
    <row r="103" customFormat="false" ht="15" hidden="false" customHeight="false" outlineLevel="0" collapsed="false">
      <c r="B103" s="9" t="s">
        <v>76</v>
      </c>
      <c r="C103" s="9" t="s">
        <v>77</v>
      </c>
      <c r="D103" s="9" t="s">
        <v>26</v>
      </c>
      <c r="E103" s="9" t="s">
        <v>118</v>
      </c>
      <c r="F103" s="9" t="s">
        <v>119</v>
      </c>
      <c r="G103" s="9" t="s">
        <v>51</v>
      </c>
    </row>
    <row r="104" customFormat="false" ht="15" hidden="false" customHeight="false" outlineLevel="0" collapsed="false">
      <c r="B104" s="9" t="s">
        <v>76</v>
      </c>
      <c r="C104" s="9" t="s">
        <v>77</v>
      </c>
      <c r="D104" s="9" t="s">
        <v>29</v>
      </c>
      <c r="E104" s="9" t="s">
        <v>118</v>
      </c>
      <c r="F104" s="9" t="s">
        <v>123</v>
      </c>
      <c r="G104" s="9" t="s">
        <v>51</v>
      </c>
    </row>
    <row r="105" customFormat="false" ht="15" hidden="false" customHeight="false" outlineLevel="0" collapsed="false">
      <c r="B105" s="9" t="s">
        <v>76</v>
      </c>
      <c r="C105" s="9" t="s">
        <v>77</v>
      </c>
      <c r="D105" s="9" t="s">
        <v>121</v>
      </c>
      <c r="E105" s="9" t="s">
        <v>118</v>
      </c>
      <c r="F105" s="9" t="s">
        <v>120</v>
      </c>
      <c r="G105" s="9" t="s">
        <v>47</v>
      </c>
    </row>
    <row r="106" customFormat="false" ht="15" hidden="false" customHeight="false" outlineLevel="0" collapsed="false">
      <c r="B106" s="9" t="s">
        <v>76</v>
      </c>
      <c r="C106" s="9" t="s">
        <v>77</v>
      </c>
      <c r="D106" s="9" t="s">
        <v>122</v>
      </c>
      <c r="E106" s="9" t="s">
        <v>118</v>
      </c>
      <c r="F106" s="9" t="s">
        <v>119</v>
      </c>
      <c r="G106" s="9" t="s">
        <v>63</v>
      </c>
    </row>
    <row r="107" customFormat="false" ht="15" hidden="false" customHeight="false" outlineLevel="0" collapsed="false">
      <c r="B107" s="9" t="s">
        <v>78</v>
      </c>
      <c r="C107" s="9" t="s">
        <v>79</v>
      </c>
      <c r="D107" s="9" t="s">
        <v>14</v>
      </c>
      <c r="E107" s="9" t="s">
        <v>118</v>
      </c>
      <c r="F107" s="9" t="s">
        <v>119</v>
      </c>
      <c r="G107" s="9" t="s">
        <v>51</v>
      </c>
    </row>
    <row r="108" customFormat="false" ht="15" hidden="false" customHeight="false" outlineLevel="0" collapsed="false">
      <c r="B108" s="9" t="s">
        <v>78</v>
      </c>
      <c r="C108" s="9" t="s">
        <v>79</v>
      </c>
      <c r="D108" s="9" t="s">
        <v>17</v>
      </c>
      <c r="E108" s="9" t="s">
        <v>118</v>
      </c>
      <c r="F108" s="9" t="s">
        <v>119</v>
      </c>
      <c r="G108" s="9" t="s">
        <v>63</v>
      </c>
    </row>
    <row r="109" customFormat="false" ht="15" hidden="false" customHeight="false" outlineLevel="0" collapsed="false">
      <c r="B109" s="9" t="s">
        <v>78</v>
      </c>
      <c r="C109" s="9" t="s">
        <v>79</v>
      </c>
      <c r="D109" s="9" t="s">
        <v>20</v>
      </c>
      <c r="E109" s="9" t="s">
        <v>118</v>
      </c>
      <c r="F109" s="9" t="s">
        <v>120</v>
      </c>
      <c r="G109" s="9" t="s">
        <v>63</v>
      </c>
    </row>
    <row r="110" customFormat="false" ht="15" hidden="false" customHeight="false" outlineLevel="0" collapsed="false">
      <c r="B110" s="9" t="s">
        <v>78</v>
      </c>
      <c r="C110" s="9" t="s">
        <v>79</v>
      </c>
      <c r="D110" s="9" t="s">
        <v>23</v>
      </c>
      <c r="E110" s="9" t="s">
        <v>118</v>
      </c>
      <c r="F110" s="9" t="s">
        <v>119</v>
      </c>
      <c r="G110" s="9" t="s">
        <v>51</v>
      </c>
    </row>
    <row r="111" customFormat="false" ht="15" hidden="false" customHeight="false" outlineLevel="0" collapsed="false">
      <c r="B111" s="9" t="s">
        <v>78</v>
      </c>
      <c r="C111" s="9" t="s">
        <v>79</v>
      </c>
      <c r="D111" s="9" t="s">
        <v>26</v>
      </c>
      <c r="E111" s="9" t="s">
        <v>118</v>
      </c>
      <c r="F111" s="9" t="s">
        <v>119</v>
      </c>
      <c r="G111" s="9" t="s">
        <v>47</v>
      </c>
    </row>
    <row r="112" customFormat="false" ht="15" hidden="false" customHeight="false" outlineLevel="0" collapsed="false">
      <c r="B112" s="9" t="s">
        <v>78</v>
      </c>
      <c r="C112" s="9" t="s">
        <v>79</v>
      </c>
      <c r="D112" s="9" t="s">
        <v>29</v>
      </c>
      <c r="E112" s="9" t="s">
        <v>118</v>
      </c>
      <c r="F112" s="9" t="s">
        <v>119</v>
      </c>
      <c r="G112" s="9" t="s">
        <v>47</v>
      </c>
    </row>
    <row r="113" customFormat="false" ht="15" hidden="false" customHeight="false" outlineLevel="0" collapsed="false">
      <c r="B113" s="9" t="s">
        <v>78</v>
      </c>
      <c r="C113" s="9" t="s">
        <v>79</v>
      </c>
      <c r="D113" s="9" t="s">
        <v>121</v>
      </c>
      <c r="E113" s="9" t="s">
        <v>118</v>
      </c>
      <c r="F113" s="9" t="s">
        <v>119</v>
      </c>
      <c r="G113" s="9" t="s">
        <v>63</v>
      </c>
    </row>
    <row r="114" customFormat="false" ht="15" hidden="false" customHeight="false" outlineLevel="0" collapsed="false">
      <c r="B114" s="9" t="s">
        <v>78</v>
      </c>
      <c r="C114" s="9" t="s">
        <v>79</v>
      </c>
      <c r="D114" s="9" t="s">
        <v>122</v>
      </c>
      <c r="E114" s="9" t="s">
        <v>118</v>
      </c>
      <c r="F114" s="9" t="s">
        <v>119</v>
      </c>
      <c r="G114" s="9" t="s">
        <v>47</v>
      </c>
    </row>
    <row r="115" customFormat="false" ht="15" hidden="false" customHeight="false" outlineLevel="0" collapsed="false">
      <c r="B115" s="9" t="s">
        <v>80</v>
      </c>
      <c r="C115" s="9" t="s">
        <v>81</v>
      </c>
      <c r="D115" s="9" t="s">
        <v>14</v>
      </c>
      <c r="E115" s="9" t="s">
        <v>118</v>
      </c>
      <c r="F115" s="9" t="s">
        <v>119</v>
      </c>
      <c r="G115" s="9" t="s">
        <v>82</v>
      </c>
    </row>
    <row r="116" customFormat="false" ht="15" hidden="false" customHeight="false" outlineLevel="0" collapsed="false">
      <c r="B116" s="9" t="s">
        <v>80</v>
      </c>
      <c r="C116" s="9" t="s">
        <v>81</v>
      </c>
      <c r="D116" s="9" t="s">
        <v>17</v>
      </c>
      <c r="E116" s="9" t="s">
        <v>118</v>
      </c>
      <c r="F116" s="9" t="s">
        <v>119</v>
      </c>
      <c r="G116" s="9" t="s">
        <v>82</v>
      </c>
    </row>
    <row r="117" customFormat="false" ht="15" hidden="false" customHeight="false" outlineLevel="0" collapsed="false">
      <c r="B117" s="9" t="s">
        <v>80</v>
      </c>
      <c r="C117" s="9" t="s">
        <v>81</v>
      </c>
      <c r="D117" s="9" t="s">
        <v>20</v>
      </c>
      <c r="E117" s="9" t="s">
        <v>118</v>
      </c>
      <c r="F117" s="9" t="s">
        <v>120</v>
      </c>
      <c r="G117" s="9" t="s">
        <v>47</v>
      </c>
    </row>
    <row r="118" customFormat="false" ht="15" hidden="false" customHeight="false" outlineLevel="0" collapsed="false">
      <c r="B118" s="9" t="s">
        <v>80</v>
      </c>
      <c r="C118" s="9" t="s">
        <v>81</v>
      </c>
      <c r="D118" s="9" t="s">
        <v>23</v>
      </c>
      <c r="E118" s="9" t="s">
        <v>118</v>
      </c>
      <c r="F118" s="9" t="s">
        <v>120</v>
      </c>
      <c r="G118" s="9" t="s">
        <v>51</v>
      </c>
    </row>
    <row r="119" customFormat="false" ht="15" hidden="false" customHeight="false" outlineLevel="0" collapsed="false">
      <c r="B119" s="9" t="s">
        <v>80</v>
      </c>
      <c r="C119" s="9" t="s">
        <v>81</v>
      </c>
      <c r="D119" s="9" t="s">
        <v>26</v>
      </c>
      <c r="E119" s="9" t="s">
        <v>118</v>
      </c>
      <c r="F119" s="9" t="s">
        <v>120</v>
      </c>
      <c r="G119" s="9" t="s">
        <v>47</v>
      </c>
    </row>
    <row r="120" customFormat="false" ht="15" hidden="false" customHeight="false" outlineLevel="0" collapsed="false">
      <c r="B120" s="9" t="s">
        <v>80</v>
      </c>
      <c r="C120" s="9" t="s">
        <v>81</v>
      </c>
      <c r="D120" s="9" t="s">
        <v>29</v>
      </c>
      <c r="E120" s="9" t="s">
        <v>118</v>
      </c>
      <c r="F120" s="9" t="s">
        <v>119</v>
      </c>
      <c r="G120" s="9" t="s">
        <v>75</v>
      </c>
    </row>
    <row r="121" customFormat="false" ht="15" hidden="false" customHeight="false" outlineLevel="0" collapsed="false">
      <c r="B121" s="9" t="s">
        <v>80</v>
      </c>
      <c r="C121" s="9" t="s">
        <v>81</v>
      </c>
      <c r="D121" s="9" t="s">
        <v>121</v>
      </c>
      <c r="E121" s="9" t="s">
        <v>118</v>
      </c>
      <c r="F121" s="9" t="s">
        <v>119</v>
      </c>
      <c r="G121" s="9" t="s">
        <v>51</v>
      </c>
    </row>
    <row r="122" customFormat="false" ht="15" hidden="false" customHeight="false" outlineLevel="0" collapsed="false">
      <c r="B122" s="9" t="s">
        <v>80</v>
      </c>
      <c r="C122" s="9" t="s">
        <v>81</v>
      </c>
      <c r="D122" s="9" t="s">
        <v>122</v>
      </c>
      <c r="E122" s="9" t="s">
        <v>118</v>
      </c>
      <c r="F122" s="9" t="s">
        <v>119</v>
      </c>
      <c r="G122" s="9" t="s">
        <v>51</v>
      </c>
    </row>
    <row r="123" customFormat="false" ht="15" hidden="false" customHeight="false" outlineLevel="0" collapsed="false">
      <c r="B123" s="9" t="s">
        <v>83</v>
      </c>
      <c r="C123" s="9" t="s">
        <v>84</v>
      </c>
      <c r="D123" s="9" t="s">
        <v>14</v>
      </c>
      <c r="E123" s="9" t="s">
        <v>118</v>
      </c>
      <c r="F123" s="9" t="s">
        <v>120</v>
      </c>
      <c r="G123" s="9" t="s">
        <v>75</v>
      </c>
    </row>
    <row r="124" customFormat="false" ht="15" hidden="false" customHeight="false" outlineLevel="0" collapsed="false">
      <c r="B124" s="9" t="s">
        <v>83</v>
      </c>
      <c r="C124" s="9" t="s">
        <v>84</v>
      </c>
      <c r="D124" s="9" t="s">
        <v>17</v>
      </c>
      <c r="E124" s="9" t="s">
        <v>118</v>
      </c>
      <c r="F124" s="9" t="s">
        <v>119</v>
      </c>
      <c r="G124" s="9" t="s">
        <v>82</v>
      </c>
    </row>
    <row r="125" customFormat="false" ht="15" hidden="false" customHeight="false" outlineLevel="0" collapsed="false">
      <c r="B125" s="9" t="s">
        <v>83</v>
      </c>
      <c r="C125" s="9" t="s">
        <v>84</v>
      </c>
      <c r="D125" s="9" t="s">
        <v>20</v>
      </c>
      <c r="E125" s="9" t="s">
        <v>118</v>
      </c>
      <c r="F125" s="9" t="s">
        <v>123</v>
      </c>
      <c r="G125" s="9" t="s">
        <v>82</v>
      </c>
    </row>
    <row r="126" customFormat="false" ht="15" hidden="false" customHeight="false" outlineLevel="0" collapsed="false">
      <c r="B126" s="9" t="s">
        <v>83</v>
      </c>
      <c r="C126" s="9" t="s">
        <v>84</v>
      </c>
      <c r="D126" s="9" t="s">
        <v>23</v>
      </c>
      <c r="E126" s="9" t="s">
        <v>118</v>
      </c>
      <c r="F126" s="9" t="s">
        <v>120</v>
      </c>
      <c r="G126" s="9" t="s">
        <v>75</v>
      </c>
    </row>
    <row r="127" customFormat="false" ht="15" hidden="false" customHeight="false" outlineLevel="0" collapsed="false">
      <c r="B127" s="9" t="s">
        <v>83</v>
      </c>
      <c r="C127" s="9" t="s">
        <v>84</v>
      </c>
      <c r="D127" s="9" t="s">
        <v>26</v>
      </c>
      <c r="E127" s="9" t="s">
        <v>118</v>
      </c>
      <c r="F127" s="9" t="s">
        <v>119</v>
      </c>
      <c r="G127" s="9" t="s">
        <v>47</v>
      </c>
    </row>
    <row r="128" customFormat="false" ht="15" hidden="false" customHeight="false" outlineLevel="0" collapsed="false">
      <c r="B128" s="9" t="s">
        <v>83</v>
      </c>
      <c r="C128" s="9" t="s">
        <v>84</v>
      </c>
      <c r="D128" s="9" t="s">
        <v>29</v>
      </c>
      <c r="E128" s="9" t="s">
        <v>118</v>
      </c>
      <c r="F128" s="9" t="s">
        <v>120</v>
      </c>
      <c r="G128" s="9" t="s">
        <v>51</v>
      </c>
    </row>
    <row r="129" customFormat="false" ht="15" hidden="false" customHeight="false" outlineLevel="0" collapsed="false">
      <c r="B129" s="9" t="s">
        <v>83</v>
      </c>
      <c r="C129" s="9" t="s">
        <v>84</v>
      </c>
      <c r="D129" s="9" t="s">
        <v>121</v>
      </c>
      <c r="E129" s="9" t="s">
        <v>118</v>
      </c>
      <c r="F129" s="9" t="s">
        <v>119</v>
      </c>
      <c r="G129" s="9" t="s">
        <v>47</v>
      </c>
    </row>
    <row r="130" customFormat="false" ht="15" hidden="false" customHeight="false" outlineLevel="0" collapsed="false">
      <c r="B130" s="9" t="s">
        <v>83</v>
      </c>
      <c r="C130" s="9" t="s">
        <v>84</v>
      </c>
      <c r="D130" s="9" t="s">
        <v>122</v>
      </c>
      <c r="E130" s="9" t="s">
        <v>118</v>
      </c>
      <c r="F130" s="9" t="s">
        <v>119</v>
      </c>
      <c r="G130" s="9" t="s">
        <v>47</v>
      </c>
    </row>
    <row r="131" customFormat="false" ht="15" hidden="false" customHeight="false" outlineLevel="0" collapsed="false">
      <c r="B131" s="9" t="s">
        <v>85</v>
      </c>
      <c r="C131" s="9" t="s">
        <v>86</v>
      </c>
      <c r="D131" s="9" t="s">
        <v>14</v>
      </c>
      <c r="E131" s="9" t="s">
        <v>118</v>
      </c>
      <c r="F131" s="9" t="s">
        <v>120</v>
      </c>
      <c r="G131" s="9" t="s">
        <v>75</v>
      </c>
    </row>
    <row r="132" customFormat="false" ht="15" hidden="false" customHeight="false" outlineLevel="0" collapsed="false">
      <c r="B132" s="9" t="s">
        <v>85</v>
      </c>
      <c r="C132" s="9" t="s">
        <v>86</v>
      </c>
      <c r="D132" s="9" t="s">
        <v>17</v>
      </c>
      <c r="E132" s="9" t="s">
        <v>118</v>
      </c>
      <c r="F132" s="9" t="s">
        <v>119</v>
      </c>
      <c r="G132" s="9" t="s">
        <v>51</v>
      </c>
    </row>
    <row r="133" customFormat="false" ht="15" hidden="false" customHeight="false" outlineLevel="0" collapsed="false">
      <c r="B133" s="9" t="s">
        <v>85</v>
      </c>
      <c r="C133" s="9" t="s">
        <v>86</v>
      </c>
      <c r="D133" s="9" t="s">
        <v>20</v>
      </c>
      <c r="E133" s="9" t="s">
        <v>118</v>
      </c>
      <c r="F133" s="9" t="s">
        <v>119</v>
      </c>
      <c r="G133" s="9" t="s">
        <v>47</v>
      </c>
    </row>
    <row r="134" customFormat="false" ht="15" hidden="false" customHeight="false" outlineLevel="0" collapsed="false">
      <c r="B134" s="9" t="s">
        <v>85</v>
      </c>
      <c r="C134" s="9" t="s">
        <v>86</v>
      </c>
      <c r="D134" s="9" t="s">
        <v>23</v>
      </c>
      <c r="E134" s="9" t="s">
        <v>118</v>
      </c>
      <c r="F134" s="9" t="s">
        <v>120</v>
      </c>
      <c r="G134" s="9" t="s">
        <v>75</v>
      </c>
    </row>
    <row r="135" customFormat="false" ht="15" hidden="false" customHeight="false" outlineLevel="0" collapsed="false">
      <c r="B135" s="9" t="s">
        <v>85</v>
      </c>
      <c r="C135" s="9" t="s">
        <v>86</v>
      </c>
      <c r="D135" s="9" t="s">
        <v>26</v>
      </c>
      <c r="E135" s="9" t="s">
        <v>118</v>
      </c>
      <c r="F135" s="9" t="s">
        <v>123</v>
      </c>
      <c r="G135" s="9" t="s">
        <v>63</v>
      </c>
    </row>
    <row r="136" customFormat="false" ht="15" hidden="false" customHeight="false" outlineLevel="0" collapsed="false">
      <c r="B136" s="9" t="s">
        <v>85</v>
      </c>
      <c r="C136" s="9" t="s">
        <v>86</v>
      </c>
      <c r="D136" s="9" t="s">
        <v>29</v>
      </c>
      <c r="E136" s="9" t="s">
        <v>118</v>
      </c>
      <c r="F136" s="9" t="s">
        <v>123</v>
      </c>
      <c r="G136" s="9" t="s">
        <v>75</v>
      </c>
    </row>
    <row r="137" customFormat="false" ht="15" hidden="false" customHeight="false" outlineLevel="0" collapsed="false">
      <c r="B137" s="9" t="s">
        <v>85</v>
      </c>
      <c r="C137" s="9" t="s">
        <v>86</v>
      </c>
      <c r="D137" s="9" t="s">
        <v>121</v>
      </c>
      <c r="E137" s="9" t="s">
        <v>118</v>
      </c>
      <c r="F137" s="9" t="s">
        <v>120</v>
      </c>
      <c r="G137" s="9" t="s">
        <v>47</v>
      </c>
    </row>
    <row r="138" customFormat="false" ht="15" hidden="false" customHeight="false" outlineLevel="0" collapsed="false">
      <c r="B138" s="9" t="s">
        <v>85</v>
      </c>
      <c r="C138" s="9" t="s">
        <v>86</v>
      </c>
      <c r="D138" s="9" t="s">
        <v>122</v>
      </c>
      <c r="E138" s="9" t="s">
        <v>118</v>
      </c>
      <c r="F138" s="9" t="s">
        <v>120</v>
      </c>
      <c r="G138" s="9" t="s">
        <v>51</v>
      </c>
    </row>
    <row r="139" customFormat="false" ht="15" hidden="false" customHeight="false" outlineLevel="0" collapsed="false">
      <c r="B139" s="9" t="s">
        <v>87</v>
      </c>
      <c r="C139" s="9" t="s">
        <v>88</v>
      </c>
      <c r="D139" s="9" t="s">
        <v>14</v>
      </c>
      <c r="E139" s="9" t="s">
        <v>118</v>
      </c>
      <c r="F139" s="9" t="s">
        <v>119</v>
      </c>
      <c r="G139" s="9" t="s">
        <v>51</v>
      </c>
    </row>
    <row r="140" customFormat="false" ht="15" hidden="false" customHeight="false" outlineLevel="0" collapsed="false">
      <c r="B140" s="9" t="s">
        <v>87</v>
      </c>
      <c r="C140" s="9" t="s">
        <v>88</v>
      </c>
      <c r="D140" s="9" t="s">
        <v>17</v>
      </c>
      <c r="E140" s="9" t="s">
        <v>118</v>
      </c>
      <c r="F140" s="9" t="s">
        <v>119</v>
      </c>
      <c r="G140" s="9" t="s">
        <v>51</v>
      </c>
    </row>
    <row r="141" customFormat="false" ht="15" hidden="false" customHeight="false" outlineLevel="0" collapsed="false">
      <c r="B141" s="9" t="s">
        <v>87</v>
      </c>
      <c r="C141" s="9" t="s">
        <v>88</v>
      </c>
      <c r="D141" s="9" t="s">
        <v>20</v>
      </c>
      <c r="E141" s="9" t="s">
        <v>118</v>
      </c>
      <c r="F141" s="9" t="s">
        <v>119</v>
      </c>
      <c r="G141" s="9" t="s">
        <v>75</v>
      </c>
    </row>
    <row r="142" customFormat="false" ht="15" hidden="false" customHeight="false" outlineLevel="0" collapsed="false">
      <c r="B142" s="9" t="s">
        <v>87</v>
      </c>
      <c r="C142" s="9" t="s">
        <v>88</v>
      </c>
      <c r="D142" s="9" t="s">
        <v>23</v>
      </c>
      <c r="E142" s="9" t="s">
        <v>118</v>
      </c>
      <c r="F142" s="9" t="s">
        <v>119</v>
      </c>
      <c r="G142" s="9" t="s">
        <v>82</v>
      </c>
    </row>
    <row r="143" customFormat="false" ht="15" hidden="false" customHeight="false" outlineLevel="0" collapsed="false">
      <c r="B143" s="9" t="s">
        <v>87</v>
      </c>
      <c r="C143" s="9" t="s">
        <v>88</v>
      </c>
      <c r="D143" s="9" t="s">
        <v>26</v>
      </c>
      <c r="E143" s="9" t="s">
        <v>118</v>
      </c>
      <c r="F143" s="9" t="s">
        <v>119</v>
      </c>
      <c r="G143" s="9" t="s">
        <v>75</v>
      </c>
    </row>
    <row r="144" customFormat="false" ht="15" hidden="false" customHeight="false" outlineLevel="0" collapsed="false">
      <c r="B144" s="9" t="s">
        <v>87</v>
      </c>
      <c r="C144" s="9" t="s">
        <v>88</v>
      </c>
      <c r="D144" s="9" t="s">
        <v>29</v>
      </c>
      <c r="E144" s="9" t="s">
        <v>118</v>
      </c>
      <c r="F144" s="9" t="s">
        <v>119</v>
      </c>
      <c r="G144" s="9" t="s">
        <v>51</v>
      </c>
    </row>
    <row r="145" customFormat="false" ht="15" hidden="false" customHeight="false" outlineLevel="0" collapsed="false">
      <c r="B145" s="9" t="s">
        <v>87</v>
      </c>
      <c r="C145" s="9" t="s">
        <v>88</v>
      </c>
      <c r="D145" s="9" t="s">
        <v>121</v>
      </c>
      <c r="E145" s="9" t="s">
        <v>118</v>
      </c>
      <c r="F145" s="9" t="s">
        <v>119</v>
      </c>
      <c r="G145" s="9" t="s">
        <v>47</v>
      </c>
    </row>
    <row r="146" customFormat="false" ht="15" hidden="false" customHeight="false" outlineLevel="0" collapsed="false">
      <c r="B146" s="9" t="s">
        <v>87</v>
      </c>
      <c r="C146" s="9" t="s">
        <v>88</v>
      </c>
      <c r="D146" s="9" t="s">
        <v>122</v>
      </c>
      <c r="E146" s="9" t="s">
        <v>118</v>
      </c>
      <c r="F146" s="9" t="s">
        <v>120</v>
      </c>
      <c r="G146" s="9" t="s">
        <v>47</v>
      </c>
    </row>
    <row r="147" customFormat="false" ht="15" hidden="false" customHeight="false" outlineLevel="0" collapsed="false">
      <c r="B147" s="9" t="s">
        <v>89</v>
      </c>
      <c r="C147" s="9" t="s">
        <v>90</v>
      </c>
      <c r="D147" s="9" t="s">
        <v>14</v>
      </c>
      <c r="E147" s="9" t="s">
        <v>118</v>
      </c>
      <c r="F147" s="9" t="s">
        <v>119</v>
      </c>
      <c r="G147" s="9" t="s">
        <v>82</v>
      </c>
    </row>
    <row r="148" customFormat="false" ht="15" hidden="false" customHeight="false" outlineLevel="0" collapsed="false">
      <c r="B148" s="9" t="s">
        <v>89</v>
      </c>
      <c r="C148" s="9" t="s">
        <v>90</v>
      </c>
      <c r="D148" s="9" t="s">
        <v>17</v>
      </c>
      <c r="E148" s="9" t="s">
        <v>118</v>
      </c>
      <c r="F148" s="9" t="s">
        <v>119</v>
      </c>
      <c r="G148" s="9" t="s">
        <v>51</v>
      </c>
    </row>
    <row r="149" customFormat="false" ht="15" hidden="false" customHeight="false" outlineLevel="0" collapsed="false">
      <c r="B149" s="9" t="s">
        <v>89</v>
      </c>
      <c r="C149" s="9" t="s">
        <v>90</v>
      </c>
      <c r="D149" s="9" t="s">
        <v>20</v>
      </c>
      <c r="E149" s="9" t="s">
        <v>118</v>
      </c>
      <c r="F149" s="9" t="s">
        <v>119</v>
      </c>
      <c r="G149" s="9" t="s">
        <v>51</v>
      </c>
    </row>
    <row r="150" customFormat="false" ht="15" hidden="false" customHeight="false" outlineLevel="0" collapsed="false">
      <c r="B150" s="9" t="s">
        <v>89</v>
      </c>
      <c r="C150" s="9" t="s">
        <v>90</v>
      </c>
      <c r="D150" s="9" t="s">
        <v>23</v>
      </c>
      <c r="E150" s="9" t="s">
        <v>118</v>
      </c>
      <c r="F150" s="9" t="s">
        <v>119</v>
      </c>
      <c r="G150" s="9" t="s">
        <v>47</v>
      </c>
    </row>
    <row r="151" customFormat="false" ht="15" hidden="false" customHeight="false" outlineLevel="0" collapsed="false">
      <c r="B151" s="9" t="s">
        <v>89</v>
      </c>
      <c r="C151" s="9" t="s">
        <v>90</v>
      </c>
      <c r="D151" s="9" t="s">
        <v>26</v>
      </c>
      <c r="E151" s="9" t="s">
        <v>118</v>
      </c>
      <c r="F151" s="9" t="s">
        <v>119</v>
      </c>
      <c r="G151" s="9" t="s">
        <v>63</v>
      </c>
    </row>
    <row r="152" customFormat="false" ht="15" hidden="false" customHeight="false" outlineLevel="0" collapsed="false">
      <c r="B152" s="9" t="s">
        <v>89</v>
      </c>
      <c r="C152" s="9" t="s">
        <v>90</v>
      </c>
      <c r="D152" s="9" t="s">
        <v>29</v>
      </c>
      <c r="E152" s="9" t="s">
        <v>118</v>
      </c>
      <c r="F152" s="9" t="s">
        <v>119</v>
      </c>
      <c r="G152" s="9" t="s">
        <v>82</v>
      </c>
    </row>
    <row r="153" customFormat="false" ht="15" hidden="false" customHeight="false" outlineLevel="0" collapsed="false">
      <c r="B153" s="9" t="s">
        <v>89</v>
      </c>
      <c r="C153" s="9" t="s">
        <v>90</v>
      </c>
      <c r="D153" s="9" t="s">
        <v>121</v>
      </c>
      <c r="E153" s="9" t="s">
        <v>118</v>
      </c>
      <c r="F153" s="9" t="s">
        <v>119</v>
      </c>
      <c r="G153" s="9" t="s">
        <v>63</v>
      </c>
    </row>
    <row r="154" customFormat="false" ht="15" hidden="false" customHeight="false" outlineLevel="0" collapsed="false">
      <c r="B154" s="9" t="s">
        <v>89</v>
      </c>
      <c r="C154" s="9" t="s">
        <v>90</v>
      </c>
      <c r="D154" s="9" t="s">
        <v>122</v>
      </c>
      <c r="E154" s="9" t="s">
        <v>118</v>
      </c>
      <c r="F154" s="9" t="s">
        <v>120</v>
      </c>
      <c r="G154" s="9" t="s">
        <v>75</v>
      </c>
    </row>
    <row r="155" customFormat="false" ht="15" hidden="false" customHeight="false" outlineLevel="0" collapsed="false">
      <c r="B155" s="9" t="s">
        <v>91</v>
      </c>
      <c r="C155" s="9" t="s">
        <v>92</v>
      </c>
      <c r="D155" s="9" t="s">
        <v>14</v>
      </c>
      <c r="E155" s="9" t="s">
        <v>118</v>
      </c>
      <c r="F155" s="9" t="s">
        <v>120</v>
      </c>
      <c r="G155" s="9" t="s">
        <v>51</v>
      </c>
    </row>
    <row r="156" customFormat="false" ht="15" hidden="false" customHeight="false" outlineLevel="0" collapsed="false">
      <c r="B156" s="9" t="s">
        <v>91</v>
      </c>
      <c r="C156" s="9" t="s">
        <v>92</v>
      </c>
      <c r="D156" s="9" t="s">
        <v>17</v>
      </c>
      <c r="E156" s="9" t="s">
        <v>118</v>
      </c>
      <c r="F156" s="9" t="s">
        <v>119</v>
      </c>
      <c r="G156" s="9" t="s">
        <v>51</v>
      </c>
    </row>
    <row r="157" customFormat="false" ht="15" hidden="false" customHeight="false" outlineLevel="0" collapsed="false">
      <c r="B157" s="9" t="s">
        <v>91</v>
      </c>
      <c r="C157" s="9" t="s">
        <v>92</v>
      </c>
      <c r="D157" s="9" t="s">
        <v>20</v>
      </c>
      <c r="E157" s="9" t="s">
        <v>118</v>
      </c>
      <c r="F157" s="9" t="s">
        <v>119</v>
      </c>
      <c r="G157" s="9" t="s">
        <v>75</v>
      </c>
    </row>
    <row r="158" customFormat="false" ht="15" hidden="false" customHeight="false" outlineLevel="0" collapsed="false">
      <c r="B158" s="9" t="s">
        <v>91</v>
      </c>
      <c r="C158" s="9" t="s">
        <v>92</v>
      </c>
      <c r="D158" s="9" t="s">
        <v>23</v>
      </c>
      <c r="E158" s="9" t="s">
        <v>118</v>
      </c>
      <c r="F158" s="9" t="s">
        <v>123</v>
      </c>
      <c r="G158" s="9" t="s">
        <v>51</v>
      </c>
    </row>
    <row r="159" customFormat="false" ht="15" hidden="false" customHeight="false" outlineLevel="0" collapsed="false">
      <c r="B159" s="9" t="s">
        <v>91</v>
      </c>
      <c r="C159" s="9" t="s">
        <v>92</v>
      </c>
      <c r="D159" s="9" t="s">
        <v>26</v>
      </c>
      <c r="E159" s="9" t="s">
        <v>118</v>
      </c>
      <c r="F159" s="9" t="s">
        <v>119</v>
      </c>
      <c r="G159" s="9" t="s">
        <v>75</v>
      </c>
    </row>
    <row r="160" customFormat="false" ht="15" hidden="false" customHeight="false" outlineLevel="0" collapsed="false">
      <c r="B160" s="9" t="s">
        <v>91</v>
      </c>
      <c r="C160" s="9" t="s">
        <v>92</v>
      </c>
      <c r="D160" s="9" t="s">
        <v>29</v>
      </c>
      <c r="E160" s="9" t="s">
        <v>118</v>
      </c>
      <c r="F160" s="9" t="s">
        <v>119</v>
      </c>
      <c r="G160" s="9" t="s">
        <v>47</v>
      </c>
    </row>
    <row r="161" customFormat="false" ht="15" hidden="false" customHeight="false" outlineLevel="0" collapsed="false">
      <c r="B161" s="9" t="s">
        <v>91</v>
      </c>
      <c r="C161" s="9" t="s">
        <v>92</v>
      </c>
      <c r="D161" s="9" t="s">
        <v>121</v>
      </c>
      <c r="E161" s="9" t="s">
        <v>118</v>
      </c>
      <c r="F161" s="9" t="s">
        <v>119</v>
      </c>
      <c r="G161" s="9" t="s">
        <v>63</v>
      </c>
    </row>
    <row r="162" customFormat="false" ht="15" hidden="false" customHeight="false" outlineLevel="0" collapsed="false">
      <c r="B162" s="9" t="s">
        <v>91</v>
      </c>
      <c r="C162" s="9" t="s">
        <v>92</v>
      </c>
      <c r="D162" s="9" t="s">
        <v>122</v>
      </c>
      <c r="E162" s="9" t="s">
        <v>118</v>
      </c>
      <c r="F162" s="9" t="s">
        <v>120</v>
      </c>
      <c r="G162" s="9" t="s">
        <v>75</v>
      </c>
    </row>
    <row r="163" customFormat="false" ht="15" hidden="false" customHeight="false" outlineLevel="0" collapsed="false">
      <c r="B163" s="9" t="s">
        <v>93</v>
      </c>
      <c r="C163" s="9" t="s">
        <v>94</v>
      </c>
      <c r="D163" s="9" t="s">
        <v>14</v>
      </c>
      <c r="E163" s="9" t="s">
        <v>118</v>
      </c>
      <c r="F163" s="9" t="s">
        <v>119</v>
      </c>
      <c r="G163" s="9" t="s">
        <v>75</v>
      </c>
    </row>
    <row r="164" customFormat="false" ht="15" hidden="false" customHeight="false" outlineLevel="0" collapsed="false">
      <c r="B164" s="9" t="s">
        <v>93</v>
      </c>
      <c r="C164" s="9" t="s">
        <v>94</v>
      </c>
      <c r="D164" s="9" t="s">
        <v>17</v>
      </c>
      <c r="E164" s="9" t="s">
        <v>118</v>
      </c>
      <c r="F164" s="9" t="s">
        <v>119</v>
      </c>
      <c r="G164" s="9" t="s">
        <v>51</v>
      </c>
    </row>
    <row r="165" customFormat="false" ht="15" hidden="false" customHeight="false" outlineLevel="0" collapsed="false">
      <c r="B165" s="9" t="s">
        <v>93</v>
      </c>
      <c r="C165" s="9" t="s">
        <v>94</v>
      </c>
      <c r="D165" s="9" t="s">
        <v>20</v>
      </c>
      <c r="E165" s="9" t="s">
        <v>118</v>
      </c>
      <c r="F165" s="9" t="s">
        <v>119</v>
      </c>
      <c r="G165" s="9" t="s">
        <v>63</v>
      </c>
    </row>
    <row r="166" customFormat="false" ht="15" hidden="false" customHeight="false" outlineLevel="0" collapsed="false">
      <c r="B166" s="9" t="s">
        <v>93</v>
      </c>
      <c r="C166" s="9" t="s">
        <v>94</v>
      </c>
      <c r="D166" s="9" t="s">
        <v>23</v>
      </c>
      <c r="E166" s="9" t="s">
        <v>118</v>
      </c>
      <c r="F166" s="9" t="s">
        <v>119</v>
      </c>
      <c r="G166" s="9" t="s">
        <v>75</v>
      </c>
    </row>
    <row r="167" customFormat="false" ht="15" hidden="false" customHeight="false" outlineLevel="0" collapsed="false">
      <c r="B167" s="9" t="s">
        <v>93</v>
      </c>
      <c r="C167" s="9" t="s">
        <v>94</v>
      </c>
      <c r="D167" s="9" t="s">
        <v>26</v>
      </c>
      <c r="E167" s="9" t="s">
        <v>118</v>
      </c>
      <c r="F167" s="9" t="s">
        <v>120</v>
      </c>
      <c r="G167" s="9" t="s">
        <v>82</v>
      </c>
    </row>
    <row r="168" customFormat="false" ht="15" hidden="false" customHeight="false" outlineLevel="0" collapsed="false">
      <c r="B168" s="9" t="s">
        <v>93</v>
      </c>
      <c r="C168" s="9" t="s">
        <v>94</v>
      </c>
      <c r="D168" s="9" t="s">
        <v>29</v>
      </c>
      <c r="E168" s="9" t="s">
        <v>118</v>
      </c>
      <c r="F168" s="9" t="s">
        <v>119</v>
      </c>
      <c r="G168" s="9" t="s">
        <v>47</v>
      </c>
    </row>
    <row r="169" customFormat="false" ht="15" hidden="false" customHeight="false" outlineLevel="0" collapsed="false">
      <c r="B169" s="9" t="s">
        <v>93</v>
      </c>
      <c r="C169" s="9" t="s">
        <v>94</v>
      </c>
      <c r="D169" s="9" t="s">
        <v>121</v>
      </c>
      <c r="E169" s="9" t="s">
        <v>118</v>
      </c>
      <c r="F169" s="9" t="s">
        <v>120</v>
      </c>
      <c r="G169" s="9" t="s">
        <v>75</v>
      </c>
    </row>
    <row r="170" customFormat="false" ht="15" hidden="false" customHeight="false" outlineLevel="0" collapsed="false">
      <c r="B170" s="9" t="s">
        <v>93</v>
      </c>
      <c r="C170" s="9" t="s">
        <v>94</v>
      </c>
      <c r="D170" s="9" t="s">
        <v>122</v>
      </c>
      <c r="E170" s="9" t="s">
        <v>118</v>
      </c>
      <c r="F170" s="9" t="s">
        <v>119</v>
      </c>
      <c r="G170" s="9" t="s">
        <v>51</v>
      </c>
    </row>
    <row r="171" customFormat="false" ht="15" hidden="false" customHeight="false" outlineLevel="0" collapsed="false">
      <c r="B171" s="9" t="s">
        <v>95</v>
      </c>
      <c r="C171" s="9" t="s">
        <v>96</v>
      </c>
      <c r="D171" s="9" t="s">
        <v>14</v>
      </c>
      <c r="E171" s="9" t="s">
        <v>118</v>
      </c>
      <c r="F171" s="9" t="s">
        <v>119</v>
      </c>
      <c r="G171" s="9" t="s">
        <v>63</v>
      </c>
    </row>
    <row r="172" customFormat="false" ht="15" hidden="false" customHeight="false" outlineLevel="0" collapsed="false">
      <c r="B172" s="9" t="s">
        <v>95</v>
      </c>
      <c r="C172" s="9" t="s">
        <v>96</v>
      </c>
      <c r="D172" s="9" t="s">
        <v>17</v>
      </c>
      <c r="E172" s="9" t="s">
        <v>118</v>
      </c>
      <c r="F172" s="9" t="s">
        <v>119</v>
      </c>
      <c r="G172" s="9" t="s">
        <v>75</v>
      </c>
    </row>
    <row r="173" customFormat="false" ht="15" hidden="false" customHeight="false" outlineLevel="0" collapsed="false">
      <c r="B173" s="9" t="s">
        <v>95</v>
      </c>
      <c r="C173" s="9" t="s">
        <v>96</v>
      </c>
      <c r="D173" s="9" t="s">
        <v>20</v>
      </c>
      <c r="E173" s="9" t="s">
        <v>118</v>
      </c>
      <c r="F173" s="9" t="s">
        <v>119</v>
      </c>
      <c r="G173" s="9" t="s">
        <v>51</v>
      </c>
    </row>
    <row r="174" customFormat="false" ht="15" hidden="false" customHeight="false" outlineLevel="0" collapsed="false">
      <c r="B174" s="9" t="s">
        <v>95</v>
      </c>
      <c r="C174" s="9" t="s">
        <v>96</v>
      </c>
      <c r="D174" s="9" t="s">
        <v>23</v>
      </c>
      <c r="E174" s="9" t="s">
        <v>118</v>
      </c>
      <c r="F174" s="9" t="s">
        <v>119</v>
      </c>
      <c r="G174" s="9" t="s">
        <v>47</v>
      </c>
    </row>
    <row r="175" customFormat="false" ht="15" hidden="false" customHeight="false" outlineLevel="0" collapsed="false">
      <c r="B175" s="9" t="s">
        <v>95</v>
      </c>
      <c r="C175" s="9" t="s">
        <v>96</v>
      </c>
      <c r="D175" s="9" t="s">
        <v>26</v>
      </c>
      <c r="E175" s="9" t="s">
        <v>118</v>
      </c>
      <c r="F175" s="9" t="s">
        <v>119</v>
      </c>
      <c r="G175" s="9" t="s">
        <v>47</v>
      </c>
    </row>
    <row r="176" customFormat="false" ht="15" hidden="false" customHeight="false" outlineLevel="0" collapsed="false">
      <c r="B176" s="9" t="s">
        <v>95</v>
      </c>
      <c r="C176" s="9" t="s">
        <v>96</v>
      </c>
      <c r="D176" s="9" t="s">
        <v>29</v>
      </c>
      <c r="E176" s="9" t="s">
        <v>118</v>
      </c>
      <c r="F176" s="9" t="s">
        <v>119</v>
      </c>
      <c r="G176" s="9" t="s">
        <v>82</v>
      </c>
    </row>
    <row r="177" customFormat="false" ht="15" hidden="false" customHeight="false" outlineLevel="0" collapsed="false">
      <c r="B177" s="9" t="s">
        <v>95</v>
      </c>
      <c r="C177" s="9" t="s">
        <v>96</v>
      </c>
      <c r="D177" s="9" t="s">
        <v>121</v>
      </c>
      <c r="E177" s="9" t="s">
        <v>118</v>
      </c>
      <c r="F177" s="9" t="s">
        <v>119</v>
      </c>
      <c r="G177" s="9" t="s">
        <v>47</v>
      </c>
    </row>
    <row r="178" customFormat="false" ht="15" hidden="false" customHeight="false" outlineLevel="0" collapsed="false">
      <c r="B178" s="9" t="s">
        <v>95</v>
      </c>
      <c r="C178" s="9" t="s">
        <v>96</v>
      </c>
      <c r="D178" s="9" t="s">
        <v>122</v>
      </c>
      <c r="E178" s="9" t="s">
        <v>118</v>
      </c>
      <c r="F178" s="9" t="s">
        <v>119</v>
      </c>
      <c r="G178" s="9" t="s">
        <v>51</v>
      </c>
    </row>
    <row r="179" customFormat="false" ht="15" hidden="false" customHeight="false" outlineLevel="0" collapsed="false">
      <c r="B179" s="9" t="s">
        <v>97</v>
      </c>
      <c r="C179" s="9" t="s">
        <v>98</v>
      </c>
      <c r="D179" s="9" t="s">
        <v>14</v>
      </c>
      <c r="E179" s="9" t="s">
        <v>118</v>
      </c>
      <c r="F179" s="9" t="s">
        <v>119</v>
      </c>
      <c r="G179" s="9" t="s">
        <v>82</v>
      </c>
    </row>
    <row r="180" customFormat="false" ht="15" hidden="false" customHeight="false" outlineLevel="0" collapsed="false">
      <c r="B180" s="9" t="s">
        <v>97</v>
      </c>
      <c r="C180" s="9" t="s">
        <v>98</v>
      </c>
      <c r="D180" s="9" t="s">
        <v>17</v>
      </c>
      <c r="E180" s="9" t="s">
        <v>118</v>
      </c>
      <c r="F180" s="9" t="s">
        <v>120</v>
      </c>
      <c r="G180" s="9" t="s">
        <v>51</v>
      </c>
    </row>
    <row r="181" customFormat="false" ht="15" hidden="false" customHeight="false" outlineLevel="0" collapsed="false">
      <c r="B181" s="9" t="s">
        <v>97</v>
      </c>
      <c r="C181" s="9" t="s">
        <v>98</v>
      </c>
      <c r="D181" s="9" t="s">
        <v>20</v>
      </c>
      <c r="E181" s="9" t="s">
        <v>118</v>
      </c>
      <c r="F181" s="9" t="s">
        <v>120</v>
      </c>
      <c r="G181" s="9" t="s">
        <v>82</v>
      </c>
    </row>
    <row r="182" customFormat="false" ht="15" hidden="false" customHeight="false" outlineLevel="0" collapsed="false">
      <c r="B182" s="9" t="s">
        <v>97</v>
      </c>
      <c r="C182" s="9" t="s">
        <v>98</v>
      </c>
      <c r="D182" s="9" t="s">
        <v>23</v>
      </c>
      <c r="E182" s="9" t="s">
        <v>118</v>
      </c>
      <c r="F182" s="9" t="s">
        <v>119</v>
      </c>
      <c r="G182" s="9" t="s">
        <v>75</v>
      </c>
    </row>
    <row r="183" customFormat="false" ht="15" hidden="false" customHeight="false" outlineLevel="0" collapsed="false">
      <c r="B183" s="9" t="s">
        <v>97</v>
      </c>
      <c r="C183" s="9" t="s">
        <v>98</v>
      </c>
      <c r="D183" s="9" t="s">
        <v>26</v>
      </c>
      <c r="E183" s="9" t="s">
        <v>118</v>
      </c>
      <c r="F183" s="9" t="s">
        <v>120</v>
      </c>
      <c r="G183" s="9" t="s">
        <v>63</v>
      </c>
    </row>
    <row r="184" customFormat="false" ht="15" hidden="false" customHeight="false" outlineLevel="0" collapsed="false">
      <c r="B184" s="9" t="s">
        <v>97</v>
      </c>
      <c r="C184" s="9" t="s">
        <v>98</v>
      </c>
      <c r="D184" s="9" t="s">
        <v>29</v>
      </c>
      <c r="E184" s="9" t="s">
        <v>118</v>
      </c>
      <c r="F184" s="9" t="s">
        <v>119</v>
      </c>
      <c r="G184" s="9" t="s">
        <v>82</v>
      </c>
    </row>
    <row r="185" customFormat="false" ht="15" hidden="false" customHeight="false" outlineLevel="0" collapsed="false">
      <c r="B185" s="9" t="s">
        <v>97</v>
      </c>
      <c r="C185" s="9" t="s">
        <v>98</v>
      </c>
      <c r="D185" s="9" t="s">
        <v>121</v>
      </c>
      <c r="E185" s="9" t="s">
        <v>118</v>
      </c>
      <c r="F185" s="9" t="s">
        <v>120</v>
      </c>
      <c r="G185" s="9" t="s">
        <v>47</v>
      </c>
    </row>
    <row r="186" customFormat="false" ht="15" hidden="false" customHeight="false" outlineLevel="0" collapsed="false">
      <c r="B186" s="9" t="s">
        <v>97</v>
      </c>
      <c r="C186" s="9" t="s">
        <v>98</v>
      </c>
      <c r="D186" s="9" t="s">
        <v>122</v>
      </c>
      <c r="E186" s="9" t="s">
        <v>118</v>
      </c>
      <c r="F186" s="9" t="s">
        <v>120</v>
      </c>
      <c r="G186" s="9" t="s">
        <v>82</v>
      </c>
    </row>
    <row r="187" customFormat="false" ht="15" hidden="false" customHeight="false" outlineLevel="0" collapsed="false">
      <c r="B187" s="9" t="s">
        <v>100</v>
      </c>
      <c r="C187" s="9" t="s">
        <v>101</v>
      </c>
      <c r="D187" s="9" t="s">
        <v>14</v>
      </c>
      <c r="E187" s="9" t="s">
        <v>118</v>
      </c>
      <c r="F187" s="9" t="s">
        <v>120</v>
      </c>
      <c r="G187" s="9" t="s">
        <v>82</v>
      </c>
    </row>
    <row r="188" customFormat="false" ht="15" hidden="false" customHeight="false" outlineLevel="0" collapsed="false">
      <c r="B188" s="9" t="s">
        <v>100</v>
      </c>
      <c r="C188" s="9" t="s">
        <v>101</v>
      </c>
      <c r="D188" s="9" t="s">
        <v>17</v>
      </c>
      <c r="E188" s="9" t="s">
        <v>118</v>
      </c>
      <c r="F188" s="9" t="s">
        <v>119</v>
      </c>
      <c r="G188" s="9" t="s">
        <v>82</v>
      </c>
    </row>
    <row r="189" customFormat="false" ht="15" hidden="false" customHeight="false" outlineLevel="0" collapsed="false">
      <c r="B189" s="9" t="s">
        <v>100</v>
      </c>
      <c r="C189" s="9" t="s">
        <v>101</v>
      </c>
      <c r="D189" s="9" t="s">
        <v>20</v>
      </c>
      <c r="E189" s="9" t="s">
        <v>118</v>
      </c>
      <c r="F189" s="9" t="s">
        <v>120</v>
      </c>
      <c r="G189" s="9" t="s">
        <v>82</v>
      </c>
    </row>
    <row r="190" customFormat="false" ht="15" hidden="false" customHeight="false" outlineLevel="0" collapsed="false">
      <c r="B190" s="9" t="s">
        <v>100</v>
      </c>
      <c r="C190" s="9" t="s">
        <v>101</v>
      </c>
      <c r="D190" s="9" t="s">
        <v>23</v>
      </c>
      <c r="E190" s="9" t="s">
        <v>118</v>
      </c>
      <c r="F190" s="9" t="s">
        <v>120</v>
      </c>
      <c r="G190" s="9" t="s">
        <v>47</v>
      </c>
    </row>
    <row r="191" customFormat="false" ht="15" hidden="false" customHeight="false" outlineLevel="0" collapsed="false">
      <c r="B191" s="9" t="s">
        <v>100</v>
      </c>
      <c r="C191" s="9" t="s">
        <v>101</v>
      </c>
      <c r="D191" s="9" t="s">
        <v>26</v>
      </c>
      <c r="E191" s="9" t="s">
        <v>118</v>
      </c>
      <c r="F191" s="9" t="s">
        <v>120</v>
      </c>
      <c r="G191" s="9" t="s">
        <v>82</v>
      </c>
    </row>
    <row r="192" customFormat="false" ht="15" hidden="false" customHeight="false" outlineLevel="0" collapsed="false">
      <c r="B192" s="9" t="s">
        <v>100</v>
      </c>
      <c r="C192" s="9" t="s">
        <v>101</v>
      </c>
      <c r="D192" s="9" t="s">
        <v>29</v>
      </c>
      <c r="E192" s="9" t="s">
        <v>118</v>
      </c>
      <c r="F192" s="9" t="s">
        <v>120</v>
      </c>
      <c r="G192" s="9" t="s">
        <v>51</v>
      </c>
    </row>
    <row r="193" customFormat="false" ht="15" hidden="false" customHeight="false" outlineLevel="0" collapsed="false">
      <c r="B193" s="9" t="s">
        <v>100</v>
      </c>
      <c r="C193" s="9" t="s">
        <v>101</v>
      </c>
      <c r="D193" s="9" t="s">
        <v>121</v>
      </c>
      <c r="E193" s="9" t="s">
        <v>118</v>
      </c>
      <c r="F193" s="9" t="s">
        <v>119</v>
      </c>
      <c r="G193" s="9" t="s">
        <v>47</v>
      </c>
    </row>
    <row r="194" customFormat="false" ht="15" hidden="false" customHeight="false" outlineLevel="0" collapsed="false">
      <c r="B194" s="9" t="s">
        <v>100</v>
      </c>
      <c r="C194" s="9" t="s">
        <v>101</v>
      </c>
      <c r="D194" s="9" t="s">
        <v>122</v>
      </c>
      <c r="E194" s="9" t="s">
        <v>118</v>
      </c>
      <c r="F194" s="9" t="s">
        <v>119</v>
      </c>
      <c r="G194" s="9" t="s">
        <v>75</v>
      </c>
    </row>
    <row r="195" customFormat="false" ht="15" hidden="false" customHeight="false" outlineLevel="0" collapsed="false">
      <c r="B195" s="9" t="s">
        <v>103</v>
      </c>
      <c r="C195" s="9" t="s">
        <v>104</v>
      </c>
      <c r="D195" s="9" t="s">
        <v>14</v>
      </c>
      <c r="E195" s="9" t="s">
        <v>118</v>
      </c>
      <c r="F195" s="9" t="s">
        <v>123</v>
      </c>
      <c r="G195" s="9" t="s">
        <v>63</v>
      </c>
    </row>
    <row r="196" customFormat="false" ht="15" hidden="false" customHeight="false" outlineLevel="0" collapsed="false">
      <c r="B196" s="9" t="s">
        <v>103</v>
      </c>
      <c r="C196" s="9" t="s">
        <v>104</v>
      </c>
      <c r="D196" s="9" t="s">
        <v>17</v>
      </c>
      <c r="E196" s="9" t="s">
        <v>118</v>
      </c>
      <c r="F196" s="9" t="s">
        <v>120</v>
      </c>
      <c r="G196" s="9" t="s">
        <v>82</v>
      </c>
    </row>
    <row r="197" customFormat="false" ht="15" hidden="false" customHeight="false" outlineLevel="0" collapsed="false">
      <c r="B197" s="9" t="s">
        <v>103</v>
      </c>
      <c r="C197" s="9" t="s">
        <v>104</v>
      </c>
      <c r="D197" s="9" t="s">
        <v>20</v>
      </c>
      <c r="E197" s="9" t="s">
        <v>118</v>
      </c>
      <c r="F197" s="9" t="s">
        <v>119</v>
      </c>
      <c r="G197" s="9" t="s">
        <v>47</v>
      </c>
    </row>
    <row r="198" customFormat="false" ht="15" hidden="false" customHeight="false" outlineLevel="0" collapsed="false">
      <c r="B198" s="9" t="s">
        <v>103</v>
      </c>
      <c r="C198" s="9" t="s">
        <v>104</v>
      </c>
      <c r="D198" s="9" t="s">
        <v>23</v>
      </c>
      <c r="E198" s="9" t="s">
        <v>118</v>
      </c>
      <c r="F198" s="9" t="s">
        <v>120</v>
      </c>
      <c r="G198" s="9" t="s">
        <v>51</v>
      </c>
    </row>
    <row r="199" customFormat="false" ht="15" hidden="false" customHeight="false" outlineLevel="0" collapsed="false">
      <c r="B199" s="9" t="s">
        <v>103</v>
      </c>
      <c r="C199" s="9" t="s">
        <v>104</v>
      </c>
      <c r="D199" s="9" t="s">
        <v>26</v>
      </c>
      <c r="E199" s="9" t="s">
        <v>118</v>
      </c>
      <c r="F199" s="9" t="s">
        <v>120</v>
      </c>
      <c r="G199" s="9" t="s">
        <v>47</v>
      </c>
    </row>
    <row r="200" customFormat="false" ht="15" hidden="false" customHeight="false" outlineLevel="0" collapsed="false">
      <c r="B200" s="9" t="s">
        <v>103</v>
      </c>
      <c r="C200" s="9" t="s">
        <v>104</v>
      </c>
      <c r="D200" s="9" t="s">
        <v>29</v>
      </c>
      <c r="E200" s="9" t="s">
        <v>118</v>
      </c>
      <c r="F200" s="9" t="s">
        <v>120</v>
      </c>
      <c r="G200" s="9" t="s">
        <v>47</v>
      </c>
    </row>
    <row r="201" customFormat="false" ht="15" hidden="false" customHeight="false" outlineLevel="0" collapsed="false">
      <c r="B201" s="9" t="s">
        <v>103</v>
      </c>
      <c r="C201" s="9" t="s">
        <v>104</v>
      </c>
      <c r="D201" s="9" t="s">
        <v>121</v>
      </c>
      <c r="E201" s="9" t="s">
        <v>118</v>
      </c>
      <c r="F201" s="9" t="s">
        <v>120</v>
      </c>
      <c r="G201" s="9" t="s">
        <v>82</v>
      </c>
    </row>
    <row r="202" customFormat="false" ht="15" hidden="false" customHeight="false" outlineLevel="0" collapsed="false">
      <c r="B202" s="9" t="s">
        <v>103</v>
      </c>
      <c r="C202" s="9" t="s">
        <v>104</v>
      </c>
      <c r="D202" s="9" t="s">
        <v>122</v>
      </c>
      <c r="E202" s="9" t="s">
        <v>118</v>
      </c>
      <c r="F202" s="9" t="s">
        <v>120</v>
      </c>
      <c r="G202" s="9" t="s">
        <v>47</v>
      </c>
    </row>
    <row r="203" customFormat="false" ht="15" hidden="false" customHeight="false" outlineLevel="0" collapsed="false">
      <c r="B203" s="9" t="s">
        <v>105</v>
      </c>
      <c r="C203" s="9" t="s">
        <v>106</v>
      </c>
      <c r="D203" s="9" t="s">
        <v>14</v>
      </c>
      <c r="E203" s="9" t="s">
        <v>118</v>
      </c>
      <c r="F203" s="9" t="s">
        <v>120</v>
      </c>
      <c r="G203" s="9" t="s">
        <v>47</v>
      </c>
    </row>
    <row r="204" customFormat="false" ht="15" hidden="false" customHeight="false" outlineLevel="0" collapsed="false">
      <c r="B204" s="9" t="s">
        <v>105</v>
      </c>
      <c r="C204" s="9" t="s">
        <v>106</v>
      </c>
      <c r="D204" s="9" t="s">
        <v>17</v>
      </c>
      <c r="E204" s="9" t="s">
        <v>118</v>
      </c>
      <c r="F204" s="9" t="s">
        <v>120</v>
      </c>
      <c r="G204" s="9" t="s">
        <v>63</v>
      </c>
    </row>
    <row r="205" customFormat="false" ht="15" hidden="false" customHeight="false" outlineLevel="0" collapsed="false">
      <c r="B205" s="9" t="s">
        <v>105</v>
      </c>
      <c r="C205" s="9" t="s">
        <v>106</v>
      </c>
      <c r="D205" s="9" t="s">
        <v>20</v>
      </c>
      <c r="E205" s="9" t="s">
        <v>118</v>
      </c>
      <c r="F205" s="9" t="s">
        <v>119</v>
      </c>
      <c r="G205" s="9" t="s">
        <v>47</v>
      </c>
    </row>
    <row r="206" customFormat="false" ht="15" hidden="false" customHeight="false" outlineLevel="0" collapsed="false">
      <c r="B206" s="9" t="s">
        <v>105</v>
      </c>
      <c r="C206" s="9" t="s">
        <v>106</v>
      </c>
      <c r="D206" s="9" t="s">
        <v>23</v>
      </c>
      <c r="E206" s="9" t="s">
        <v>118</v>
      </c>
      <c r="F206" s="9" t="s">
        <v>120</v>
      </c>
      <c r="G206" s="9" t="s">
        <v>51</v>
      </c>
    </row>
    <row r="207" customFormat="false" ht="15" hidden="false" customHeight="false" outlineLevel="0" collapsed="false">
      <c r="B207" s="9" t="s">
        <v>105</v>
      </c>
      <c r="C207" s="9" t="s">
        <v>106</v>
      </c>
      <c r="D207" s="9" t="s">
        <v>26</v>
      </c>
      <c r="E207" s="9" t="s">
        <v>118</v>
      </c>
      <c r="F207" s="9" t="s">
        <v>120</v>
      </c>
      <c r="G207" s="9" t="s">
        <v>51</v>
      </c>
    </row>
    <row r="208" customFormat="false" ht="15" hidden="false" customHeight="false" outlineLevel="0" collapsed="false">
      <c r="B208" s="9" t="s">
        <v>105</v>
      </c>
      <c r="C208" s="9" t="s">
        <v>106</v>
      </c>
      <c r="D208" s="9" t="s">
        <v>29</v>
      </c>
      <c r="E208" s="9" t="s">
        <v>118</v>
      </c>
      <c r="F208" s="9" t="s">
        <v>119</v>
      </c>
      <c r="G208" s="9" t="s">
        <v>63</v>
      </c>
    </row>
    <row r="209" customFormat="false" ht="15" hidden="false" customHeight="false" outlineLevel="0" collapsed="false">
      <c r="B209" s="9" t="s">
        <v>105</v>
      </c>
      <c r="C209" s="9" t="s">
        <v>106</v>
      </c>
      <c r="D209" s="9" t="s">
        <v>121</v>
      </c>
      <c r="E209" s="9" t="s">
        <v>118</v>
      </c>
      <c r="F209" s="9" t="s">
        <v>120</v>
      </c>
      <c r="G209" s="9" t="s">
        <v>63</v>
      </c>
    </row>
    <row r="210" customFormat="false" ht="15" hidden="false" customHeight="false" outlineLevel="0" collapsed="false">
      <c r="B210" s="9" t="s">
        <v>105</v>
      </c>
      <c r="C210" s="9" t="s">
        <v>106</v>
      </c>
      <c r="D210" s="9" t="s">
        <v>122</v>
      </c>
      <c r="E210" s="9" t="s">
        <v>118</v>
      </c>
      <c r="F210" s="9" t="s">
        <v>119</v>
      </c>
      <c r="G210" s="9" t="s">
        <v>75</v>
      </c>
    </row>
    <row r="211" customFormat="false" ht="15" hidden="false" customHeight="false" outlineLevel="0" collapsed="false">
      <c r="B211" s="9" t="s">
        <v>107</v>
      </c>
      <c r="C211" s="9" t="s">
        <v>108</v>
      </c>
      <c r="D211" s="9" t="s">
        <v>14</v>
      </c>
      <c r="E211" s="9" t="s">
        <v>118</v>
      </c>
      <c r="F211" s="9" t="s">
        <v>120</v>
      </c>
      <c r="G211" s="9" t="s">
        <v>82</v>
      </c>
    </row>
    <row r="212" customFormat="false" ht="15" hidden="false" customHeight="false" outlineLevel="0" collapsed="false">
      <c r="B212" s="9" t="s">
        <v>107</v>
      </c>
      <c r="C212" s="9" t="s">
        <v>108</v>
      </c>
      <c r="D212" s="9" t="s">
        <v>17</v>
      </c>
      <c r="E212" s="9" t="s">
        <v>118</v>
      </c>
      <c r="F212" s="9" t="s">
        <v>120</v>
      </c>
      <c r="G212" s="9" t="s">
        <v>51</v>
      </c>
    </row>
    <row r="213" customFormat="false" ht="15" hidden="false" customHeight="false" outlineLevel="0" collapsed="false">
      <c r="B213" s="9" t="s">
        <v>107</v>
      </c>
      <c r="C213" s="9" t="s">
        <v>108</v>
      </c>
      <c r="D213" s="9" t="s">
        <v>20</v>
      </c>
      <c r="E213" s="9" t="s">
        <v>118</v>
      </c>
      <c r="F213" s="9" t="s">
        <v>119</v>
      </c>
      <c r="G213" s="9" t="s">
        <v>51</v>
      </c>
    </row>
    <row r="214" customFormat="false" ht="15" hidden="false" customHeight="false" outlineLevel="0" collapsed="false">
      <c r="B214" s="9" t="s">
        <v>107</v>
      </c>
      <c r="C214" s="9" t="s">
        <v>108</v>
      </c>
      <c r="D214" s="9" t="s">
        <v>23</v>
      </c>
      <c r="E214" s="9" t="s">
        <v>118</v>
      </c>
      <c r="F214" s="9" t="s">
        <v>119</v>
      </c>
      <c r="G214" s="9" t="s">
        <v>75</v>
      </c>
    </row>
    <row r="215" customFormat="false" ht="15" hidden="false" customHeight="false" outlineLevel="0" collapsed="false">
      <c r="B215" s="9" t="s">
        <v>107</v>
      </c>
      <c r="C215" s="9" t="s">
        <v>108</v>
      </c>
      <c r="D215" s="9" t="s">
        <v>26</v>
      </c>
      <c r="E215" s="9" t="s">
        <v>118</v>
      </c>
      <c r="F215" s="9" t="s">
        <v>120</v>
      </c>
      <c r="G215" s="9" t="s">
        <v>51</v>
      </c>
    </row>
    <row r="216" customFormat="false" ht="15" hidden="false" customHeight="false" outlineLevel="0" collapsed="false">
      <c r="B216" s="9" t="s">
        <v>107</v>
      </c>
      <c r="C216" s="9" t="s">
        <v>108</v>
      </c>
      <c r="D216" s="9" t="s">
        <v>29</v>
      </c>
      <c r="E216" s="9" t="s">
        <v>118</v>
      </c>
      <c r="F216" s="9" t="s">
        <v>119</v>
      </c>
      <c r="G216" s="9" t="s">
        <v>47</v>
      </c>
    </row>
    <row r="217" customFormat="false" ht="15" hidden="false" customHeight="false" outlineLevel="0" collapsed="false">
      <c r="B217" s="9" t="s">
        <v>107</v>
      </c>
      <c r="C217" s="9" t="s">
        <v>108</v>
      </c>
      <c r="D217" s="9" t="s">
        <v>121</v>
      </c>
      <c r="E217" s="9" t="s">
        <v>118</v>
      </c>
      <c r="F217" s="9" t="s">
        <v>120</v>
      </c>
      <c r="G217" s="9" t="s">
        <v>47</v>
      </c>
    </row>
    <row r="218" customFormat="false" ht="15" hidden="false" customHeight="false" outlineLevel="0" collapsed="false">
      <c r="B218" s="9" t="s">
        <v>107</v>
      </c>
      <c r="C218" s="9" t="s">
        <v>108</v>
      </c>
      <c r="D218" s="9" t="s">
        <v>122</v>
      </c>
      <c r="E218" s="9" t="s">
        <v>118</v>
      </c>
      <c r="F218" s="9" t="s">
        <v>120</v>
      </c>
      <c r="G218" s="9" t="s">
        <v>63</v>
      </c>
    </row>
    <row r="219" customFormat="false" ht="15" hidden="false" customHeight="false" outlineLevel="0" collapsed="false">
      <c r="B219" s="9" t="s">
        <v>109</v>
      </c>
      <c r="C219" s="9" t="s">
        <v>110</v>
      </c>
      <c r="D219" s="9" t="s">
        <v>14</v>
      </c>
      <c r="E219" s="9" t="s">
        <v>118</v>
      </c>
      <c r="F219" s="9" t="s">
        <v>119</v>
      </c>
      <c r="G219" s="9" t="s">
        <v>82</v>
      </c>
    </row>
    <row r="220" customFormat="false" ht="15" hidden="false" customHeight="false" outlineLevel="0" collapsed="false">
      <c r="B220" s="9" t="s">
        <v>109</v>
      </c>
      <c r="C220" s="9" t="s">
        <v>110</v>
      </c>
      <c r="D220" s="9" t="s">
        <v>17</v>
      </c>
      <c r="E220" s="9" t="s">
        <v>118</v>
      </c>
      <c r="F220" s="9" t="s">
        <v>119</v>
      </c>
      <c r="G220" s="9" t="s">
        <v>63</v>
      </c>
    </row>
    <row r="221" customFormat="false" ht="15" hidden="false" customHeight="false" outlineLevel="0" collapsed="false">
      <c r="B221" s="9" t="s">
        <v>109</v>
      </c>
      <c r="C221" s="9" t="s">
        <v>110</v>
      </c>
      <c r="D221" s="9" t="s">
        <v>20</v>
      </c>
      <c r="E221" s="9" t="s">
        <v>118</v>
      </c>
      <c r="F221" s="9" t="s">
        <v>119</v>
      </c>
      <c r="G221" s="9" t="s">
        <v>47</v>
      </c>
    </row>
    <row r="222" customFormat="false" ht="15" hidden="false" customHeight="false" outlineLevel="0" collapsed="false">
      <c r="B222" s="9" t="s">
        <v>109</v>
      </c>
      <c r="C222" s="9" t="s">
        <v>110</v>
      </c>
      <c r="D222" s="9" t="s">
        <v>23</v>
      </c>
      <c r="E222" s="9" t="s">
        <v>118</v>
      </c>
      <c r="F222" s="9" t="s">
        <v>120</v>
      </c>
      <c r="G222" s="9" t="s">
        <v>82</v>
      </c>
    </row>
    <row r="223" customFormat="false" ht="15" hidden="false" customHeight="false" outlineLevel="0" collapsed="false">
      <c r="B223" s="9" t="s">
        <v>109</v>
      </c>
      <c r="C223" s="9" t="s">
        <v>110</v>
      </c>
      <c r="D223" s="9" t="s">
        <v>26</v>
      </c>
      <c r="E223" s="9" t="s">
        <v>118</v>
      </c>
      <c r="F223" s="9" t="s">
        <v>119</v>
      </c>
      <c r="G223" s="9" t="s">
        <v>47</v>
      </c>
    </row>
    <row r="224" customFormat="false" ht="15" hidden="false" customHeight="false" outlineLevel="0" collapsed="false">
      <c r="B224" s="9" t="s">
        <v>109</v>
      </c>
      <c r="C224" s="9" t="s">
        <v>110</v>
      </c>
      <c r="D224" s="9" t="s">
        <v>29</v>
      </c>
      <c r="E224" s="9" t="s">
        <v>118</v>
      </c>
      <c r="F224" s="9" t="s">
        <v>119</v>
      </c>
      <c r="G224" s="9" t="s">
        <v>47</v>
      </c>
    </row>
    <row r="225" customFormat="false" ht="15" hidden="false" customHeight="false" outlineLevel="0" collapsed="false">
      <c r="B225" s="9" t="s">
        <v>109</v>
      </c>
      <c r="C225" s="9" t="s">
        <v>110</v>
      </c>
      <c r="D225" s="9" t="s">
        <v>121</v>
      </c>
      <c r="E225" s="9" t="s">
        <v>118</v>
      </c>
      <c r="F225" s="9" t="s">
        <v>119</v>
      </c>
      <c r="G225" s="9" t="s">
        <v>47</v>
      </c>
    </row>
    <row r="226" customFormat="false" ht="15" hidden="false" customHeight="false" outlineLevel="0" collapsed="false">
      <c r="B226" s="9" t="s">
        <v>109</v>
      </c>
      <c r="C226" s="9" t="s">
        <v>110</v>
      </c>
      <c r="D226" s="9" t="s">
        <v>122</v>
      </c>
      <c r="E226" s="9" t="s">
        <v>118</v>
      </c>
      <c r="F226" s="9" t="s">
        <v>119</v>
      </c>
      <c r="G226" s="9" t="s">
        <v>63</v>
      </c>
    </row>
    <row r="227" customFormat="false" ht="15" hidden="false" customHeight="false" outlineLevel="0" collapsed="false">
      <c r="B227" s="9" t="s">
        <v>111</v>
      </c>
      <c r="C227" s="9" t="s">
        <v>112</v>
      </c>
      <c r="D227" s="9" t="s">
        <v>14</v>
      </c>
      <c r="E227" s="9" t="s">
        <v>118</v>
      </c>
      <c r="F227" s="9" t="s">
        <v>123</v>
      </c>
      <c r="G227" s="9" t="s">
        <v>63</v>
      </c>
    </row>
    <row r="228" customFormat="false" ht="15" hidden="false" customHeight="false" outlineLevel="0" collapsed="false">
      <c r="B228" s="9" t="s">
        <v>111</v>
      </c>
      <c r="C228" s="9" t="s">
        <v>112</v>
      </c>
      <c r="D228" s="9" t="s">
        <v>17</v>
      </c>
      <c r="E228" s="9" t="s">
        <v>118</v>
      </c>
      <c r="F228" s="9" t="s">
        <v>119</v>
      </c>
      <c r="G228" s="9" t="s">
        <v>51</v>
      </c>
    </row>
    <row r="229" customFormat="false" ht="15" hidden="false" customHeight="false" outlineLevel="0" collapsed="false">
      <c r="B229" s="9" t="s">
        <v>111</v>
      </c>
      <c r="C229" s="9" t="s">
        <v>112</v>
      </c>
      <c r="D229" s="9" t="s">
        <v>20</v>
      </c>
      <c r="E229" s="9" t="s">
        <v>118</v>
      </c>
      <c r="F229" s="9" t="s">
        <v>119</v>
      </c>
      <c r="G229" s="9" t="s">
        <v>47</v>
      </c>
    </row>
    <row r="230" customFormat="false" ht="15" hidden="false" customHeight="false" outlineLevel="0" collapsed="false">
      <c r="B230" s="9" t="s">
        <v>111</v>
      </c>
      <c r="C230" s="9" t="s">
        <v>112</v>
      </c>
      <c r="D230" s="9" t="s">
        <v>23</v>
      </c>
      <c r="E230" s="9" t="s">
        <v>118</v>
      </c>
      <c r="F230" s="9" t="s">
        <v>119</v>
      </c>
      <c r="G230" s="9" t="s">
        <v>82</v>
      </c>
    </row>
    <row r="231" customFormat="false" ht="15" hidden="false" customHeight="false" outlineLevel="0" collapsed="false">
      <c r="B231" s="9" t="s">
        <v>111</v>
      </c>
      <c r="C231" s="9" t="s">
        <v>112</v>
      </c>
      <c r="D231" s="9" t="s">
        <v>26</v>
      </c>
      <c r="E231" s="9" t="s">
        <v>118</v>
      </c>
      <c r="F231" s="9" t="s">
        <v>119</v>
      </c>
      <c r="G231" s="9" t="s">
        <v>75</v>
      </c>
    </row>
    <row r="232" customFormat="false" ht="15" hidden="false" customHeight="false" outlineLevel="0" collapsed="false">
      <c r="B232" s="9" t="s">
        <v>111</v>
      </c>
      <c r="C232" s="9" t="s">
        <v>112</v>
      </c>
      <c r="D232" s="9" t="s">
        <v>29</v>
      </c>
      <c r="E232" s="9" t="s">
        <v>118</v>
      </c>
      <c r="F232" s="9" t="s">
        <v>119</v>
      </c>
      <c r="G232" s="9" t="s">
        <v>82</v>
      </c>
    </row>
    <row r="233" customFormat="false" ht="15" hidden="false" customHeight="false" outlineLevel="0" collapsed="false">
      <c r="B233" s="9" t="s">
        <v>111</v>
      </c>
      <c r="C233" s="9" t="s">
        <v>112</v>
      </c>
      <c r="D233" s="9" t="s">
        <v>121</v>
      </c>
      <c r="E233" s="9" t="s">
        <v>118</v>
      </c>
      <c r="F233" s="9" t="s">
        <v>119</v>
      </c>
      <c r="G233" s="9" t="s">
        <v>47</v>
      </c>
    </row>
    <row r="234" customFormat="false" ht="15" hidden="false" customHeight="false" outlineLevel="0" collapsed="false">
      <c r="B234" s="9" t="s">
        <v>111</v>
      </c>
      <c r="C234" s="9" t="s">
        <v>112</v>
      </c>
      <c r="D234" s="9" t="s">
        <v>122</v>
      </c>
      <c r="E234" s="9" t="s">
        <v>118</v>
      </c>
      <c r="F234" s="9" t="s">
        <v>120</v>
      </c>
      <c r="G234" s="9" t="s">
        <v>51</v>
      </c>
    </row>
    <row r="235" customFormat="false" ht="15" hidden="false" customHeight="false" outlineLevel="0" collapsed="false">
      <c r="B235" s="9" t="s">
        <v>113</v>
      </c>
      <c r="C235" s="9" t="s">
        <v>114</v>
      </c>
      <c r="D235" s="9" t="s">
        <v>14</v>
      </c>
      <c r="E235" s="9" t="s">
        <v>118</v>
      </c>
      <c r="F235" s="9" t="s">
        <v>120</v>
      </c>
      <c r="G235" s="9" t="s">
        <v>63</v>
      </c>
    </row>
    <row r="236" customFormat="false" ht="15" hidden="false" customHeight="false" outlineLevel="0" collapsed="false">
      <c r="B236" s="9" t="s">
        <v>113</v>
      </c>
      <c r="C236" s="9" t="s">
        <v>114</v>
      </c>
      <c r="D236" s="9" t="s">
        <v>17</v>
      </c>
      <c r="E236" s="9" t="s">
        <v>118</v>
      </c>
      <c r="F236" s="9" t="s">
        <v>119</v>
      </c>
      <c r="G236" s="9" t="s">
        <v>51</v>
      </c>
    </row>
    <row r="237" customFormat="false" ht="15" hidden="false" customHeight="false" outlineLevel="0" collapsed="false">
      <c r="B237" s="9" t="s">
        <v>113</v>
      </c>
      <c r="C237" s="9" t="s">
        <v>114</v>
      </c>
      <c r="D237" s="9" t="s">
        <v>20</v>
      </c>
      <c r="E237" s="9" t="s">
        <v>118</v>
      </c>
      <c r="F237" s="9" t="s">
        <v>119</v>
      </c>
      <c r="G237" s="9" t="s">
        <v>63</v>
      </c>
    </row>
    <row r="238" customFormat="false" ht="15" hidden="false" customHeight="false" outlineLevel="0" collapsed="false">
      <c r="B238" s="9" t="s">
        <v>113</v>
      </c>
      <c r="C238" s="9" t="s">
        <v>114</v>
      </c>
      <c r="D238" s="9" t="s">
        <v>23</v>
      </c>
      <c r="E238" s="9" t="s">
        <v>118</v>
      </c>
      <c r="F238" s="9" t="s">
        <v>120</v>
      </c>
      <c r="G238" s="9" t="s">
        <v>63</v>
      </c>
    </row>
    <row r="239" customFormat="false" ht="15" hidden="false" customHeight="false" outlineLevel="0" collapsed="false">
      <c r="B239" s="9" t="s">
        <v>113</v>
      </c>
      <c r="C239" s="9" t="s">
        <v>114</v>
      </c>
      <c r="D239" s="9" t="s">
        <v>26</v>
      </c>
      <c r="E239" s="9" t="s">
        <v>118</v>
      </c>
      <c r="F239" s="9" t="s">
        <v>119</v>
      </c>
      <c r="G239" s="9" t="s">
        <v>51</v>
      </c>
    </row>
    <row r="240" customFormat="false" ht="15" hidden="false" customHeight="false" outlineLevel="0" collapsed="false">
      <c r="B240" s="9" t="s">
        <v>113</v>
      </c>
      <c r="C240" s="9" t="s">
        <v>114</v>
      </c>
      <c r="D240" s="9" t="s">
        <v>29</v>
      </c>
      <c r="E240" s="9" t="s">
        <v>118</v>
      </c>
      <c r="F240" s="9" t="s">
        <v>119</v>
      </c>
      <c r="G240" s="9" t="s">
        <v>63</v>
      </c>
    </row>
    <row r="241" customFormat="false" ht="15" hidden="false" customHeight="false" outlineLevel="0" collapsed="false">
      <c r="B241" s="9" t="s">
        <v>113</v>
      </c>
      <c r="C241" s="9" t="s">
        <v>114</v>
      </c>
      <c r="D241" s="9" t="s">
        <v>121</v>
      </c>
      <c r="E241" s="9" t="s">
        <v>118</v>
      </c>
      <c r="F241" s="9" t="s">
        <v>119</v>
      </c>
      <c r="G241" s="9" t="s">
        <v>75</v>
      </c>
    </row>
    <row r="242" customFormat="false" ht="15" hidden="false" customHeight="false" outlineLevel="0" collapsed="false">
      <c r="B242" s="9" t="s">
        <v>113</v>
      </c>
      <c r="C242" s="9" t="s">
        <v>114</v>
      </c>
      <c r="D242" s="9" t="s">
        <v>122</v>
      </c>
      <c r="E242" s="9" t="s">
        <v>118</v>
      </c>
      <c r="F242" s="9" t="s">
        <v>119</v>
      </c>
      <c r="G242" s="9" t="s">
        <v>75</v>
      </c>
    </row>
  </sheetData>
  <autoFilter ref="B2:G242"/>
  <conditionalFormatting sqref="F3:F242">
    <cfRule type="cellIs" priority="2" operator="equal" aboveAverage="0" equalAverage="0" bottom="0" percent="0" rank="0" text="" dxfId="7">
      <formula>"Complete"</formula>
    </cfRule>
    <cfRule type="cellIs" priority="3" operator="equal" aboveAverage="0" equalAverage="0" bottom="0" percent="0" rank="0" text="" dxfId="9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</cols>
  <sheetData>
    <row r="2" customFormat="false" ht="15" hidden="false" customHeight="false" outlineLevel="0" collapsed="false">
      <c r="B2" s="12" t="s">
        <v>124</v>
      </c>
      <c r="C2" s="12" t="s">
        <v>33</v>
      </c>
      <c r="D2" s="12" t="s">
        <v>34</v>
      </c>
      <c r="E2" s="12" t="s">
        <v>125</v>
      </c>
      <c r="F2" s="12" t="s">
        <v>126</v>
      </c>
      <c r="G2" s="12" t="s">
        <v>127</v>
      </c>
      <c r="H2" s="12" t="s">
        <v>38</v>
      </c>
      <c r="I2" s="12" t="s">
        <v>117</v>
      </c>
      <c r="J2" s="12" t="s">
        <v>128</v>
      </c>
    </row>
    <row r="3" customFormat="false" ht="15" hidden="false" customHeight="false" outlineLevel="0" collapsed="false">
      <c r="B3" s="9" t="s">
        <v>129</v>
      </c>
      <c r="C3" s="9" t="s">
        <v>55</v>
      </c>
      <c r="D3" s="9" t="s">
        <v>56</v>
      </c>
      <c r="E3" s="13" t="n">
        <v>46199</v>
      </c>
      <c r="F3" s="9" t="s">
        <v>130</v>
      </c>
      <c r="G3" s="9" t="s">
        <v>131</v>
      </c>
      <c r="H3" s="9" t="s">
        <v>132</v>
      </c>
      <c r="I3" s="14" t="n">
        <f aca="false">IF(H3="Resolved",0,DATE(2026,7,21)-E3)</f>
        <v>25</v>
      </c>
    </row>
    <row r="4" customFormat="false" ht="15" hidden="false" customHeight="false" outlineLevel="0" collapsed="false">
      <c r="B4" s="9" t="s">
        <v>133</v>
      </c>
      <c r="C4" s="9" t="s">
        <v>73</v>
      </c>
      <c r="D4" s="9" t="s">
        <v>74</v>
      </c>
      <c r="E4" s="13" t="n">
        <v>46208</v>
      </c>
      <c r="F4" s="9" t="s">
        <v>134</v>
      </c>
      <c r="G4" s="9" t="s">
        <v>135</v>
      </c>
      <c r="H4" s="9" t="s">
        <v>136</v>
      </c>
      <c r="I4" s="14" t="n">
        <f aca="false">IF(H4="Resolved",0,DATE(2026,7,21)-E4)</f>
        <v>16</v>
      </c>
    </row>
    <row r="5" customFormat="false" ht="15" hidden="false" customHeight="false" outlineLevel="0" collapsed="false">
      <c r="B5" s="9" t="s">
        <v>137</v>
      </c>
      <c r="C5" s="9" t="s">
        <v>73</v>
      </c>
      <c r="D5" s="9" t="s">
        <v>74</v>
      </c>
      <c r="E5" s="13" t="n">
        <v>46220</v>
      </c>
      <c r="F5" s="9" t="s">
        <v>138</v>
      </c>
      <c r="G5" s="9" t="s">
        <v>135</v>
      </c>
      <c r="H5" s="9" t="s">
        <v>139</v>
      </c>
      <c r="I5" s="14" t="n">
        <f aca="false">IF(H5="Resolved",0,DATE(2026,7,21)-E5)</f>
        <v>0</v>
      </c>
    </row>
    <row r="6" customFormat="false" ht="15" hidden="false" customHeight="false" outlineLevel="0" collapsed="false">
      <c r="B6" s="9" t="s">
        <v>140</v>
      </c>
      <c r="C6" s="9" t="s">
        <v>48</v>
      </c>
      <c r="D6" s="9" t="s">
        <v>49</v>
      </c>
      <c r="E6" s="13" t="n">
        <v>46218</v>
      </c>
      <c r="F6" s="9" t="s">
        <v>141</v>
      </c>
      <c r="G6" s="9" t="s">
        <v>131</v>
      </c>
      <c r="H6" s="9" t="s">
        <v>132</v>
      </c>
      <c r="I6" s="14" t="n">
        <f aca="false">IF(H6="Resolved",0,DATE(2026,7,21)-E6)</f>
        <v>6</v>
      </c>
    </row>
    <row r="7" customFormat="false" ht="15" hidden="false" customHeight="false" outlineLevel="0" collapsed="false">
      <c r="B7" s="9" t="s">
        <v>142</v>
      </c>
      <c r="C7" s="9" t="s">
        <v>68</v>
      </c>
      <c r="D7" s="9" t="s">
        <v>49</v>
      </c>
      <c r="E7" s="13" t="n">
        <v>46209</v>
      </c>
      <c r="F7" s="9" t="s">
        <v>138</v>
      </c>
      <c r="G7" s="9" t="s">
        <v>131</v>
      </c>
      <c r="H7" s="9" t="s">
        <v>132</v>
      </c>
      <c r="I7" s="14" t="n">
        <f aca="false">IF(H7="Resolved",0,DATE(2026,7,21)-E7)</f>
        <v>15</v>
      </c>
    </row>
    <row r="8" customFormat="false" ht="15" hidden="false" customHeight="false" outlineLevel="0" collapsed="false">
      <c r="B8" s="9" t="s">
        <v>143</v>
      </c>
      <c r="C8" s="9" t="s">
        <v>78</v>
      </c>
      <c r="D8" s="9" t="s">
        <v>79</v>
      </c>
      <c r="E8" s="13" t="n">
        <v>46174</v>
      </c>
      <c r="F8" s="9" t="s">
        <v>134</v>
      </c>
      <c r="G8" s="9" t="s">
        <v>131</v>
      </c>
      <c r="H8" s="9" t="s">
        <v>136</v>
      </c>
      <c r="I8" s="14" t="n">
        <f aca="false">IF(H8="Resolved",0,DATE(2026,7,21)-E8)</f>
        <v>50</v>
      </c>
    </row>
    <row r="9" customFormat="false" ht="15" hidden="false" customHeight="false" outlineLevel="0" collapsed="false">
      <c r="B9" s="9" t="s">
        <v>144</v>
      </c>
      <c r="C9" s="9" t="s">
        <v>64</v>
      </c>
      <c r="D9" s="9" t="s">
        <v>65</v>
      </c>
      <c r="E9" s="13" t="n">
        <v>46189</v>
      </c>
      <c r="F9" s="9" t="s">
        <v>145</v>
      </c>
      <c r="G9" s="9" t="s">
        <v>146</v>
      </c>
      <c r="H9" s="9" t="s">
        <v>132</v>
      </c>
      <c r="I9" s="14" t="n">
        <f aca="false">IF(H9="Resolved",0,DATE(2026,7,21)-E9)</f>
        <v>35</v>
      </c>
    </row>
    <row r="10" customFormat="false" ht="15" hidden="false" customHeight="false" outlineLevel="0" collapsed="false">
      <c r="B10" s="9" t="s">
        <v>147</v>
      </c>
      <c r="C10" s="9" t="s">
        <v>91</v>
      </c>
      <c r="D10" s="9" t="s">
        <v>92</v>
      </c>
      <c r="E10" s="13" t="n">
        <v>46196</v>
      </c>
      <c r="F10" s="9" t="s">
        <v>141</v>
      </c>
      <c r="G10" s="9" t="s">
        <v>146</v>
      </c>
      <c r="H10" s="9" t="s">
        <v>136</v>
      </c>
      <c r="I10" s="14" t="n">
        <f aca="false">IF(H10="Resolved",0,DATE(2026,7,21)-E10)</f>
        <v>28</v>
      </c>
    </row>
    <row r="11" customFormat="false" ht="15" hidden="false" customHeight="false" outlineLevel="0" collapsed="false">
      <c r="B11" s="9" t="s">
        <v>148</v>
      </c>
      <c r="C11" s="9" t="s">
        <v>48</v>
      </c>
      <c r="D11" s="9" t="s">
        <v>49</v>
      </c>
      <c r="E11" s="13" t="n">
        <v>46193</v>
      </c>
      <c r="F11" s="9" t="s">
        <v>149</v>
      </c>
      <c r="G11" s="9" t="s">
        <v>146</v>
      </c>
      <c r="H11" s="9" t="s">
        <v>132</v>
      </c>
      <c r="I11" s="14" t="n">
        <f aca="false">IF(H11="Resolved",0,DATE(2026,7,21)-E11)</f>
        <v>31</v>
      </c>
    </row>
    <row r="12" customFormat="false" ht="15" hidden="false" customHeight="false" outlineLevel="0" collapsed="false">
      <c r="B12" s="9" t="s">
        <v>150</v>
      </c>
      <c r="C12" s="9" t="s">
        <v>69</v>
      </c>
      <c r="D12" s="9" t="s">
        <v>70</v>
      </c>
      <c r="E12" s="13" t="n">
        <v>46203</v>
      </c>
      <c r="F12" s="9" t="s">
        <v>151</v>
      </c>
      <c r="G12" s="9" t="s">
        <v>135</v>
      </c>
      <c r="H12" s="9" t="s">
        <v>139</v>
      </c>
      <c r="I12" s="14" t="n">
        <f aca="false">IF(H12="Resolved",0,DATE(2026,7,21)-E12)</f>
        <v>0</v>
      </c>
    </row>
    <row r="13" customFormat="false" ht="15" hidden="false" customHeight="false" outlineLevel="0" collapsed="false">
      <c r="B13" s="9" t="s">
        <v>152</v>
      </c>
      <c r="C13" s="9" t="s">
        <v>93</v>
      </c>
      <c r="D13" s="9" t="s">
        <v>94</v>
      </c>
      <c r="E13" s="13" t="n">
        <v>46199</v>
      </c>
      <c r="F13" s="9" t="s">
        <v>130</v>
      </c>
      <c r="G13" s="9" t="s">
        <v>135</v>
      </c>
      <c r="H13" s="9" t="s">
        <v>136</v>
      </c>
      <c r="I13" s="14" t="n">
        <f aca="false">IF(H13="Resolved",0,DATE(2026,7,21)-E13)</f>
        <v>25</v>
      </c>
    </row>
    <row r="14" customFormat="false" ht="15" hidden="false" customHeight="false" outlineLevel="0" collapsed="false">
      <c r="B14" s="9" t="s">
        <v>153</v>
      </c>
      <c r="C14" s="9" t="s">
        <v>60</v>
      </c>
      <c r="D14" s="9" t="s">
        <v>61</v>
      </c>
      <c r="E14" s="13" t="n">
        <v>46217</v>
      </c>
      <c r="F14" s="9" t="s">
        <v>145</v>
      </c>
      <c r="G14" s="9" t="s">
        <v>146</v>
      </c>
      <c r="H14" s="9" t="s">
        <v>132</v>
      </c>
      <c r="I14" s="14" t="n">
        <f aca="false">IF(H14="Resolved",0,DATE(2026,7,21)-E14)</f>
        <v>7</v>
      </c>
    </row>
    <row r="15" customFormat="false" ht="15" hidden="false" customHeight="false" outlineLevel="0" collapsed="false">
      <c r="B15" s="9" t="s">
        <v>154</v>
      </c>
      <c r="C15" s="9" t="s">
        <v>87</v>
      </c>
      <c r="D15" s="9" t="s">
        <v>88</v>
      </c>
      <c r="E15" s="13" t="n">
        <v>46193</v>
      </c>
      <c r="F15" s="9" t="s">
        <v>130</v>
      </c>
      <c r="G15" s="9" t="s">
        <v>135</v>
      </c>
      <c r="H15" s="9" t="s">
        <v>139</v>
      </c>
      <c r="I15" s="14" t="n">
        <f aca="false">IF(H15="Resolved",0,DATE(2026,7,21)-E15)</f>
        <v>0</v>
      </c>
    </row>
    <row r="16" customFormat="false" ht="15" hidden="false" customHeight="false" outlineLevel="0" collapsed="false">
      <c r="B16" s="9" t="s">
        <v>155</v>
      </c>
      <c r="C16" s="9" t="s">
        <v>57</v>
      </c>
      <c r="D16" s="9" t="s">
        <v>58</v>
      </c>
      <c r="E16" s="13" t="n">
        <v>46197</v>
      </c>
      <c r="F16" s="9" t="s">
        <v>149</v>
      </c>
      <c r="G16" s="9" t="s">
        <v>146</v>
      </c>
      <c r="H16" s="9" t="s">
        <v>132</v>
      </c>
      <c r="I16" s="14" t="n">
        <f aca="false">IF(H16="Resolved",0,DATE(2026,7,21)-E16)</f>
        <v>27</v>
      </c>
    </row>
    <row r="17" customFormat="false" ht="15" hidden="false" customHeight="false" outlineLevel="0" collapsed="false">
      <c r="B17" s="9" t="s">
        <v>156</v>
      </c>
      <c r="C17" s="9" t="s">
        <v>87</v>
      </c>
      <c r="D17" s="9" t="s">
        <v>88</v>
      </c>
      <c r="E17" s="13" t="n">
        <v>46203</v>
      </c>
      <c r="F17" s="9" t="s">
        <v>134</v>
      </c>
      <c r="G17" s="9" t="s">
        <v>135</v>
      </c>
      <c r="H17" s="9" t="s">
        <v>132</v>
      </c>
      <c r="I17" s="14" t="n">
        <f aca="false">IF(H17="Resolved",0,DATE(2026,7,21)-E17)</f>
        <v>21</v>
      </c>
    </row>
    <row r="18" customFormat="false" ht="15" hidden="false" customHeight="false" outlineLevel="0" collapsed="false">
      <c r="B18" s="9" t="s">
        <v>157</v>
      </c>
      <c r="C18" s="9" t="s">
        <v>64</v>
      </c>
      <c r="D18" s="9" t="s">
        <v>65</v>
      </c>
      <c r="E18" s="13" t="n">
        <v>46188</v>
      </c>
      <c r="F18" s="9" t="s">
        <v>134</v>
      </c>
      <c r="G18" s="9" t="s">
        <v>131</v>
      </c>
      <c r="H18" s="9" t="s">
        <v>139</v>
      </c>
      <c r="I18" s="14" t="n">
        <f aca="false">IF(H18="Resolved",0,DATE(2026,7,21)-E18)</f>
        <v>0</v>
      </c>
    </row>
    <row r="19" customFormat="false" ht="15" hidden="false" customHeight="false" outlineLevel="0" collapsed="false">
      <c r="B19" s="9" t="s">
        <v>158</v>
      </c>
      <c r="C19" s="9" t="s">
        <v>100</v>
      </c>
      <c r="D19" s="9" t="s">
        <v>101</v>
      </c>
      <c r="E19" s="13" t="n">
        <v>46198</v>
      </c>
      <c r="F19" s="9" t="s">
        <v>149</v>
      </c>
      <c r="G19" s="9" t="s">
        <v>146</v>
      </c>
      <c r="H19" s="9" t="s">
        <v>136</v>
      </c>
      <c r="I19" s="14" t="n">
        <f aca="false">IF(H19="Resolved",0,DATE(2026,7,21)-E19)</f>
        <v>26</v>
      </c>
    </row>
    <row r="20" customFormat="false" ht="15" hidden="false" customHeight="false" outlineLevel="0" collapsed="false">
      <c r="B20" s="9" t="s">
        <v>159</v>
      </c>
      <c r="C20" s="9" t="s">
        <v>48</v>
      </c>
      <c r="D20" s="9" t="s">
        <v>49</v>
      </c>
      <c r="E20" s="13" t="n">
        <v>46176</v>
      </c>
      <c r="F20" s="9" t="s">
        <v>138</v>
      </c>
      <c r="G20" s="9" t="s">
        <v>135</v>
      </c>
      <c r="H20" s="9" t="s">
        <v>136</v>
      </c>
      <c r="I20" s="14" t="n">
        <f aca="false">IF(H20="Resolved",0,DATE(2026,7,21)-E20)</f>
        <v>48</v>
      </c>
    </row>
  </sheetData>
  <autoFilter ref="B2:J20"/>
  <conditionalFormatting sqref="H3:H20">
    <cfRule type="cellIs" priority="2" operator="equal" aboveAverage="0" equalAverage="0" bottom="0" percent="0" rank="0" text="" dxfId="7">
      <formula>"Resolved"</formula>
    </cfRule>
    <cfRule type="cellIs" priority="3" operator="equal" aboveAverage="0" equalAverage="0" bottom="0" percent="0" rank="0" text="" dxfId="6">
      <formula>"Open"</formula>
    </cfRule>
  </conditionalFormatting>
  <conditionalFormatting sqref="G3:G20">
    <cfRule type="cellIs" priority="4" operator="equal" aboveAverage="0" equalAverage="0" bottom="0" percent="0" rank="0" text="" dxfId="6">
      <formula>"High"</formula>
    </cfRule>
    <cfRule type="cellIs" priority="5" operator="equal" aboveAverage="0" equalAverage="0" bottom="0" percent="0" rank="0" text="" dxfId="9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7" min="4" style="0" width="16"/>
  </cols>
  <sheetData>
    <row r="2" customFormat="false" ht="16.15" hidden="false" customHeight="false" outlineLevel="0" collapsed="false">
      <c r="B2" s="17" t="s">
        <v>160</v>
      </c>
    </row>
    <row r="3" customFormat="false" ht="15" hidden="false" customHeight="false" outlineLevel="0" collapsed="false">
      <c r="B3" s="12" t="s">
        <v>38</v>
      </c>
      <c r="C3" s="12" t="s">
        <v>161</v>
      </c>
      <c r="D3" s="12" t="s">
        <v>162</v>
      </c>
      <c r="E3" s="12" t="s">
        <v>163</v>
      </c>
      <c r="F3" s="12" t="s">
        <v>164</v>
      </c>
      <c r="G3" s="12" t="s">
        <v>165</v>
      </c>
    </row>
    <row r="4" customFormat="false" ht="15" hidden="false" customHeight="false" outlineLevel="0" collapsed="false">
      <c r="B4" s="18" t="s">
        <v>13</v>
      </c>
      <c r="C4" s="14" t="n">
        <f aca="false">COUNTIF(Onboarding_Pipeline!G3:G32,B4)</f>
        <v>5</v>
      </c>
      <c r="D4" s="19" t="n">
        <f aca="false">IFERROR(C4/COUNTA(Onboarding_Pipeline!G3:G32),0)</f>
        <v>0.166666666666667</v>
      </c>
      <c r="E4" s="20" t="n">
        <f aca="false">IFERROR(AVERAGEIFS(Onboarding_Pipeline!H3:H32,Onboarding_Pipeline!G3:G32,B4),0)</f>
        <v>38.8</v>
      </c>
      <c r="F4" s="15" t="n">
        <v>5</v>
      </c>
      <c r="G4" s="15" t="str">
        <f aca="false">IF(AND(B4&lt;&gt;"Opened",B4&lt;&gt;"Rejected",E4&gt;F4),"BREACH","OK")</f>
        <v>BREACH</v>
      </c>
    </row>
    <row r="5" customFormat="false" ht="15" hidden="false" customHeight="false" outlineLevel="0" collapsed="false">
      <c r="B5" s="18" t="s">
        <v>16</v>
      </c>
      <c r="C5" s="14" t="n">
        <f aca="false">COUNTIF(Onboarding_Pipeline!G3:G32,B5)</f>
        <v>4</v>
      </c>
      <c r="D5" s="19" t="n">
        <f aca="false">IFERROR(C5/COUNTA(Onboarding_Pipeline!G3:G32),0)</f>
        <v>0.133333333333333</v>
      </c>
      <c r="E5" s="20" t="n">
        <f aca="false">IFERROR(AVERAGEIFS(Onboarding_Pipeline!H3:H32,Onboarding_Pipeline!G3:G32,B5),0)</f>
        <v>40</v>
      </c>
      <c r="F5" s="15" t="n">
        <v>5</v>
      </c>
      <c r="G5" s="15" t="str">
        <f aca="false">IF(AND(B5&lt;&gt;"Opened",B5&lt;&gt;"Rejected",E5&gt;F5),"BREACH","OK")</f>
        <v>BREACH</v>
      </c>
    </row>
    <row r="6" customFormat="false" ht="15" hidden="false" customHeight="false" outlineLevel="0" collapsed="false">
      <c r="B6" s="18" t="s">
        <v>19</v>
      </c>
      <c r="C6" s="14" t="n">
        <f aca="false">COUNTIF(Onboarding_Pipeline!G3:G32,B6)</f>
        <v>4</v>
      </c>
      <c r="D6" s="19" t="n">
        <f aca="false">IFERROR(C6/COUNTA(Onboarding_Pipeline!G3:G32),0)</f>
        <v>0.133333333333333</v>
      </c>
      <c r="E6" s="20" t="n">
        <f aca="false">IFERROR(AVERAGEIFS(Onboarding_Pipeline!H3:H32,Onboarding_Pipeline!G3:G32,B6),0)</f>
        <v>55.75</v>
      </c>
      <c r="F6" s="15" t="n">
        <v>5</v>
      </c>
      <c r="G6" s="15" t="str">
        <f aca="false">IF(AND(B6&lt;&gt;"Opened",B6&lt;&gt;"Rejected",E6&gt;F6),"BREACH","OK")</f>
        <v>BREACH</v>
      </c>
    </row>
    <row r="7" customFormat="false" ht="15" hidden="false" customHeight="false" outlineLevel="0" collapsed="false">
      <c r="B7" s="18" t="s">
        <v>22</v>
      </c>
      <c r="C7" s="14" t="n">
        <f aca="false">COUNTIF(Onboarding_Pipeline!G3:G32,B7)</f>
        <v>4</v>
      </c>
      <c r="D7" s="19" t="n">
        <f aca="false">IFERROR(C7/COUNTA(Onboarding_Pipeline!G3:G32),0)</f>
        <v>0.133333333333333</v>
      </c>
      <c r="E7" s="20" t="n">
        <f aca="false">IFERROR(AVERAGEIFS(Onboarding_Pipeline!H3:H32,Onboarding_Pipeline!G3:G32,B7),0)</f>
        <v>20</v>
      </c>
      <c r="F7" s="15" t="n">
        <v>5</v>
      </c>
      <c r="G7" s="15" t="str">
        <f aca="false">IF(AND(B7&lt;&gt;"Opened",B7&lt;&gt;"Rejected",E7&gt;F7),"BREACH","OK")</f>
        <v>BREACH</v>
      </c>
    </row>
    <row r="8" customFormat="false" ht="15" hidden="false" customHeight="false" outlineLevel="0" collapsed="false">
      <c r="B8" s="18" t="s">
        <v>25</v>
      </c>
      <c r="C8" s="14" t="n">
        <f aca="false">COUNTIF(Onboarding_Pipeline!G3:G32,B8)</f>
        <v>2</v>
      </c>
      <c r="D8" s="19" t="n">
        <f aca="false">IFERROR(C8/COUNTA(Onboarding_Pipeline!G3:G32),0)</f>
        <v>0.0666666666666667</v>
      </c>
      <c r="E8" s="20" t="n">
        <f aca="false">IFERROR(AVERAGEIFS(Onboarding_Pipeline!H3:H32,Onboarding_Pipeline!G3:G32,B8),0)</f>
        <v>39</v>
      </c>
      <c r="F8" s="15" t="n">
        <v>5</v>
      </c>
      <c r="G8" s="15" t="str">
        <f aca="false">IF(AND(B8&lt;&gt;"Opened",B8&lt;&gt;"Rejected",E8&gt;F8),"BREACH","OK")</f>
        <v>BREACH</v>
      </c>
    </row>
    <row r="9" customFormat="false" ht="15" hidden="false" customHeight="false" outlineLevel="0" collapsed="false">
      <c r="B9" s="18" t="s">
        <v>28</v>
      </c>
      <c r="C9" s="14" t="n">
        <f aca="false">COUNTIF(Onboarding_Pipeline!G3:G32,B9)</f>
        <v>11</v>
      </c>
      <c r="D9" s="19" t="n">
        <f aca="false">IFERROR(C9/COUNTA(Onboarding_Pipeline!G3:G32),0)</f>
        <v>0.366666666666667</v>
      </c>
      <c r="E9" s="20" t="n">
        <f aca="false">IFERROR(AVERAGEIFS(Onboarding_Pipeline!H3:H32,Onboarding_Pipeline!G3:G32,B9),0)</f>
        <v>41.4545454545455</v>
      </c>
      <c r="F9" s="15" t="n">
        <v>5</v>
      </c>
      <c r="G9" s="15" t="str">
        <f aca="false">IF(AND(B9&lt;&gt;"Opened",B9&lt;&gt;"Rejected",E9&gt;F9),"BREACH","OK")</f>
        <v>OK</v>
      </c>
    </row>
    <row r="10" customFormat="false" ht="15" hidden="false" customHeight="false" outlineLevel="0" collapsed="false">
      <c r="B10" s="18" t="s">
        <v>31</v>
      </c>
      <c r="C10" s="14" t="n">
        <f aca="false">COUNTIF(Onboarding_Pipeline!G3:G32,B10)</f>
        <v>0</v>
      </c>
      <c r="D10" s="19" t="n">
        <f aca="false">IFERROR(C10/COUNTA(Onboarding_Pipeline!G3:G32),0)</f>
        <v>0</v>
      </c>
      <c r="E10" s="20" t="n">
        <f aca="false">IFERROR(AVERAGEIFS(Onboarding_Pipeline!H3:H32,Onboarding_Pipeline!G3:G32,B10),0)</f>
        <v>0</v>
      </c>
      <c r="F10" s="15" t="n">
        <v>5</v>
      </c>
      <c r="G10" s="15" t="str">
        <f aca="false">IF(AND(B10&lt;&gt;"Opened",B10&lt;&gt;"Rejected",E10&gt;F10),"BREACH","OK")</f>
        <v>OK</v>
      </c>
    </row>
  </sheetData>
  <conditionalFormatting sqref="G4:G10">
    <cfRule type="cellIs" priority="2" operator="equal" aboveAverage="0" equalAverage="0" bottom="0" percent="0" rank="0" text="" dxfId="6">
      <formula>"BREACH"</formula>
    </cfRule>
    <cfRule type="cellIs" priority="3" operator="equal" aboveAverage="0" equalAverage="0" bottom="0" percent="0" rank="0" text="" dxfId="7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2026-07-22T04:13:06Z</dcterms:created>
  <dc:creator>openpyxl</dc:creator>
  <dc:description/>
  <dc:language>en-US</dc:language>
  <cp:lastModifiedBy/>
  <dcterms:modified xsi:type="dcterms:W3CDTF">2026-07-22T04:13:10Z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