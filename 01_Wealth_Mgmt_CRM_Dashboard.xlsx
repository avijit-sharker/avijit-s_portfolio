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lient_Master" sheetId="2" state="visible" r:id="rId4"/>
    <sheet name="Interactions" sheetId="3" state="visible" r:id="rId5"/>
    <sheet name="Service_Requests" sheetId="4" state="visible" r:id="rId6"/>
    <sheet name="Meeting_Prep" sheetId="5" state="visible" r:id="rId7"/>
  </sheets>
  <definedNames>
    <definedName function="false" hidden="true" localSheetId="1" name="_xlnm._FilterDatabase" vbProcedure="false">Client_Master!$B$2:$J$42</definedName>
    <definedName function="false" hidden="false" localSheetId="0" name="_xlnm.Print_Area" vbProcedure="false">Dashboard!$B$2:$L$40</definedName>
    <definedName function="false" hidden="true" localSheetId="2" name="_xlnm._FilterDatabase" vbProcedure="false">Interactions!$B$2:$H$72</definedName>
    <definedName function="false" hidden="true" localSheetId="4" name="_xlnm._FilterDatabase" vbProcedure="false">Meeting_Prep!$B$2:$I$20</definedName>
    <definedName function="false" hidden="true" localSheetId="3" name="_xlnm._FilterDatabase" vbProcedure="false">Service_Requests!$B$2:$L$47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<sst xmlns="http://schemas.openxmlformats.org/spreadsheetml/2006/main" count="1215" uniqueCount="283">
  <si>
    <t xml:space="preserve">Wealth Management — Client Portfolio &amp; CRM Dashboard</t>
  </si>
  <si>
    <t xml:space="preserve">Live KPIs drawn from Client_Master, Interactions, Service_Requests, and Meeting_Prep</t>
  </si>
  <si>
    <t xml:space="preserve">TOTAL CLIENTS</t>
  </si>
  <si>
    <t xml:space="preserve">TOTAL AUM</t>
  </si>
  <si>
    <t xml:space="preserve">ACTIVE CLIENTS</t>
  </si>
  <si>
    <t xml:space="preserve">OPEN SERVICE REQUESTS</t>
  </si>
  <si>
    <t xml:space="preserve">OVERDUE SLA REQUESTS</t>
  </si>
  <si>
    <t xml:space="preserve">UPCOMING REVIEWS (30D)</t>
  </si>
  <si>
    <t xml:space="preserve">INTERACTIONS (90D)</t>
  </si>
  <si>
    <t xml:space="preserve">AVG AUM / CLIENT</t>
  </si>
  <si>
    <t xml:space="preserve">AUM by Client Segment</t>
  </si>
  <si>
    <t xml:space="preserve">Service Requests by Status</t>
  </si>
  <si>
    <t xml:space="preserve">Interactions by Month</t>
  </si>
  <si>
    <t xml:space="preserve">Mass Affluent</t>
  </si>
  <si>
    <t xml:space="preserve">Open</t>
  </si>
  <si>
    <t xml:space="preserve">Feb 2026</t>
  </si>
  <si>
    <t xml:space="preserve">High Net Worth</t>
  </si>
  <si>
    <t xml:space="preserve">In Progress</t>
  </si>
  <si>
    <t xml:space="preserve">Mar 2026</t>
  </si>
  <si>
    <t xml:space="preserve">Ultra High Net Worth</t>
  </si>
  <si>
    <t xml:space="preserve">Pending Client</t>
  </si>
  <si>
    <t xml:space="preserve">Apr 2026</t>
  </si>
  <si>
    <t xml:space="preserve">Closed</t>
  </si>
  <si>
    <t xml:space="preserve">May 2026</t>
  </si>
  <si>
    <t xml:space="preserve">Jun 2026</t>
  </si>
  <si>
    <t xml:space="preserve">Jul 2026</t>
  </si>
  <si>
    <t xml:space="preserve">Note: All KPIs are live Excel formulas (COUNTIF/SUMIF/SUMPRODUCT). Data is illustrative sample data. Refresh by editing the source sheets.</t>
  </si>
  <si>
    <t xml:space="preserve">Client ID</t>
  </si>
  <si>
    <t xml:space="preserve">Client Name</t>
  </si>
  <si>
    <t xml:space="preserve">Segment</t>
  </si>
  <si>
    <t xml:space="preserve">Advisor</t>
  </si>
  <si>
    <t xml:space="preserve">Acquisition Date</t>
  </si>
  <si>
    <t xml:space="preserve">Total AUM ($)</t>
  </si>
  <si>
    <t xml:space="preserve">Risk Profile</t>
  </si>
  <si>
    <t xml:space="preserve">Next Review Date</t>
  </si>
  <si>
    <t xml:space="preserve">Status</t>
  </si>
  <si>
    <t xml:space="preserve">C0001</t>
  </si>
  <si>
    <t xml:space="preserve">William Yamamoto</t>
  </si>
  <si>
    <t xml:space="preserve">A. Rivera</t>
  </si>
  <si>
    <t xml:space="preserve">Conservative</t>
  </si>
  <si>
    <t xml:space="preserve">Active</t>
  </si>
  <si>
    <t xml:space="preserve">C0002</t>
  </si>
  <si>
    <t xml:space="preserve">Joseph Quinn</t>
  </si>
  <si>
    <t xml:space="preserve">J. Novak</t>
  </si>
  <si>
    <t xml:space="preserve">Moderate</t>
  </si>
  <si>
    <t xml:space="preserve">C0003</t>
  </si>
  <si>
    <t xml:space="preserve">Sarah Brooks</t>
  </si>
  <si>
    <t xml:space="preserve">C0004</t>
  </si>
  <si>
    <t xml:space="preserve">Nancy Davidson</t>
  </si>
  <si>
    <t xml:space="preserve">C0005</t>
  </si>
  <si>
    <t xml:space="preserve">Robert Yamamoto</t>
  </si>
  <si>
    <t xml:space="preserve">K. Osei</t>
  </si>
  <si>
    <t xml:space="preserve">C0006</t>
  </si>
  <si>
    <t xml:space="preserve">Carol Ellis</t>
  </si>
  <si>
    <t xml:space="preserve">S. Patel</t>
  </si>
  <si>
    <t xml:space="preserve">C0007</t>
  </si>
  <si>
    <t xml:space="preserve">Joseph Delgado</t>
  </si>
  <si>
    <t xml:space="preserve">Growth</t>
  </si>
  <si>
    <t xml:space="preserve">Dormant</t>
  </si>
  <si>
    <t xml:space="preserve">C0008</t>
  </si>
  <si>
    <t xml:space="preserve">Susan Vasquez</t>
  </si>
  <si>
    <t xml:space="preserve">C0009</t>
  </si>
  <si>
    <t xml:space="preserve">David O'Brien</t>
  </si>
  <si>
    <t xml:space="preserve">C0010</t>
  </si>
  <si>
    <t xml:space="preserve">Christopher Mitchell</t>
  </si>
  <si>
    <t xml:space="preserve">C0011</t>
  </si>
  <si>
    <t xml:space="preserve">Margaret Ellis</t>
  </si>
  <si>
    <t xml:space="preserve">C0012</t>
  </si>
  <si>
    <t xml:space="preserve">Michelle Mitchell</t>
  </si>
  <si>
    <t xml:space="preserve">C0013</t>
  </si>
  <si>
    <t xml:space="preserve">Elizabeth Underwood</t>
  </si>
  <si>
    <t xml:space="preserve">M. Chen</t>
  </si>
  <si>
    <t xml:space="preserve">C0014</t>
  </si>
  <si>
    <t xml:space="preserve">Donna Delgado</t>
  </si>
  <si>
    <t xml:space="preserve">C0015</t>
  </si>
  <si>
    <t xml:space="preserve">C0016</t>
  </si>
  <si>
    <t xml:space="preserve">Karen Cohen</t>
  </si>
  <si>
    <t xml:space="preserve">Prospect</t>
  </si>
  <si>
    <t xml:space="preserve">C0017</t>
  </si>
  <si>
    <t xml:space="preserve">Emily Friedman</t>
  </si>
  <si>
    <t xml:space="preserve">C0018</t>
  </si>
  <si>
    <t xml:space="preserve">Karen Harrison</t>
  </si>
  <si>
    <t xml:space="preserve">C0019</t>
  </si>
  <si>
    <t xml:space="preserve">Paul Zimmerman</t>
  </si>
  <si>
    <t xml:space="preserve">Aggressive</t>
  </si>
  <si>
    <t xml:space="preserve">C0020</t>
  </si>
  <si>
    <t xml:space="preserve">Joshua Nelson</t>
  </si>
  <si>
    <t xml:space="preserve">C0021</t>
  </si>
  <si>
    <t xml:space="preserve">Mark Davidson</t>
  </si>
  <si>
    <t xml:space="preserve">C0022</t>
  </si>
  <si>
    <t xml:space="preserve">John Whitman</t>
  </si>
  <si>
    <t xml:space="preserve">C0023</t>
  </si>
  <si>
    <t xml:space="preserve">Sarah Vasquez</t>
  </si>
  <si>
    <t xml:space="preserve">C0024</t>
  </si>
  <si>
    <t xml:space="preserve">Anthony Gallagher</t>
  </si>
  <si>
    <t xml:space="preserve">C0025</t>
  </si>
  <si>
    <t xml:space="preserve">Patricia Vasquez</t>
  </si>
  <si>
    <t xml:space="preserve">C0026</t>
  </si>
  <si>
    <t xml:space="preserve">Paul O'Brien</t>
  </si>
  <si>
    <t xml:space="preserve">C0027</t>
  </si>
  <si>
    <t xml:space="preserve">Donna Davidson</t>
  </si>
  <si>
    <t xml:space="preserve">C0028</t>
  </si>
  <si>
    <t xml:space="preserve">Donald Gallagher</t>
  </si>
  <si>
    <t xml:space="preserve">C0029</t>
  </si>
  <si>
    <t xml:space="preserve">Ashley Jennings</t>
  </si>
  <si>
    <t xml:space="preserve">C0030</t>
  </si>
  <si>
    <t xml:space="preserve">Michelle Yamamoto</t>
  </si>
  <si>
    <t xml:space="preserve">C0031</t>
  </si>
  <si>
    <t xml:space="preserve">Emily Foster</t>
  </si>
  <si>
    <t xml:space="preserve">C0032</t>
  </si>
  <si>
    <t xml:space="preserve">Jessica Mitchell</t>
  </si>
  <si>
    <t xml:space="preserve">C0033</t>
  </si>
  <si>
    <t xml:space="preserve">Michelle Sullivan</t>
  </si>
  <si>
    <t xml:space="preserve">C0034</t>
  </si>
  <si>
    <t xml:space="preserve">William Vasquez</t>
  </si>
  <si>
    <t xml:space="preserve">C0035</t>
  </si>
  <si>
    <t xml:space="preserve">Andrew Davidson</t>
  </si>
  <si>
    <t xml:space="preserve">C0036</t>
  </si>
  <si>
    <t xml:space="preserve">Lisa Jennings</t>
  </si>
  <si>
    <t xml:space="preserve">C0037</t>
  </si>
  <si>
    <t xml:space="preserve">Michael Ellis</t>
  </si>
  <si>
    <t xml:space="preserve">C0038</t>
  </si>
  <si>
    <t xml:space="preserve">Susan Whitman</t>
  </si>
  <si>
    <t xml:space="preserve">C0039</t>
  </si>
  <si>
    <t xml:space="preserve">Sandra Cohen</t>
  </si>
  <si>
    <t xml:space="preserve">C0040</t>
  </si>
  <si>
    <t xml:space="preserve">Mark Reynolds</t>
  </si>
  <si>
    <t xml:space="preserve">Date</t>
  </si>
  <si>
    <t xml:space="preserve">Channel</t>
  </si>
  <si>
    <t xml:space="preserve">Interaction Type</t>
  </si>
  <si>
    <t xml:space="preserve">Outcome</t>
  </si>
  <si>
    <t xml:space="preserve">2026-01-24</t>
  </si>
  <si>
    <t xml:space="preserve">Secure Message</t>
  </si>
  <si>
    <t xml:space="preserve">Portfolio Review</t>
  </si>
  <si>
    <t xml:space="preserve">Completed</t>
  </si>
  <si>
    <t xml:space="preserve">2026-01-25</t>
  </si>
  <si>
    <t xml:space="preserve">Email</t>
  </si>
  <si>
    <t xml:space="preserve">Rate Inquiry</t>
  </si>
  <si>
    <t xml:space="preserve">2026-01-31</t>
  </si>
  <si>
    <t xml:space="preserve">Service Request</t>
  </si>
  <si>
    <t xml:space="preserve">2026-02-01</t>
  </si>
  <si>
    <t xml:space="preserve">Beneficiary Update</t>
  </si>
  <si>
    <t xml:space="preserve">2026-02-02</t>
  </si>
  <si>
    <t xml:space="preserve">Scheduled</t>
  </si>
  <si>
    <t xml:space="preserve">2026-02-03</t>
  </si>
  <si>
    <t xml:space="preserve">2026-02-05</t>
  </si>
  <si>
    <t xml:space="preserve">In-person</t>
  </si>
  <si>
    <t xml:space="preserve">2026-02-07</t>
  </si>
  <si>
    <t xml:space="preserve">Video</t>
  </si>
  <si>
    <t xml:space="preserve">2026-02-11</t>
  </si>
  <si>
    <t xml:space="preserve">Financial Planning</t>
  </si>
  <si>
    <t xml:space="preserve">2026-02-15</t>
  </si>
  <si>
    <t xml:space="preserve">2026-02-22</t>
  </si>
  <si>
    <t xml:space="preserve">Phone</t>
  </si>
  <si>
    <t xml:space="preserve">2026-02-24</t>
  </si>
  <si>
    <t xml:space="preserve">2026-03-01</t>
  </si>
  <si>
    <t xml:space="preserve">2026-03-14</t>
  </si>
  <si>
    <t xml:space="preserve">2026-03-19</t>
  </si>
  <si>
    <t xml:space="preserve">2026-03-22</t>
  </si>
  <si>
    <t xml:space="preserve">Account Update</t>
  </si>
  <si>
    <t xml:space="preserve">2026-03-23</t>
  </si>
  <si>
    <t xml:space="preserve">2026-03-24</t>
  </si>
  <si>
    <t xml:space="preserve">2026-03-25</t>
  </si>
  <si>
    <t xml:space="preserve">2026-03-27</t>
  </si>
  <si>
    <t xml:space="preserve">2026-03-29</t>
  </si>
  <si>
    <t xml:space="preserve">2026-03-30</t>
  </si>
  <si>
    <t xml:space="preserve">2026-04-01</t>
  </si>
  <si>
    <t xml:space="preserve">2026-04-02</t>
  </si>
  <si>
    <t xml:space="preserve">2026-04-04</t>
  </si>
  <si>
    <t xml:space="preserve">2026-04-05</t>
  </si>
  <si>
    <t xml:space="preserve">2026-04-06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</si>
  <si>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</si>
  <si>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</si>
  <si>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</si>
  <si>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</si>
  <si>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2026-04-13</t>
  </si>
  <si>
    <t xml:space="preserve">2026-04-15</t>
  </si>
  <si>
    <t xml:space="preserve">2026-04-18</t>
  </si>
  <si>
    <t xml:space="preserve">2026-04-19</t>
  </si>
  <si>
    <t xml:space="preserve">2026-04-22</t>
  </si>
  <si>
    <t xml:space="preserve">2026-04-23</t>
  </si>
  <si>
    <t xml:space="preserve">2026-04-24</t>
  </si>
  <si>
    <t xml:space="preserve">2026-04-26</t>
  </si>
  <si>
    <t xml:space="preserve">2026-04-27</t>
  </si>
  <si>
    <t xml:space="preserve">2026-04-29</t>
  </si>
  <si>
    <t xml:space="preserve">2026-05-03</t>
  </si>
  <si>
    <t xml:space="preserve">2026-05-04</t>
  </si>
  <si>
    <t xml:space="preserve">2026-05-05</t>
  </si>
  <si>
    <t xml:space="preserve">2026-05-16</t>
  </si>
  <si>
    <t xml:space="preserve">2026-05-17</t>
  </si>
  <si>
    <t xml:space="preserve">2026-05-22</t>
  </si>
  <si>
    <t xml:space="preserve">2026-05-28</t>
  </si>
  <si>
    <t xml:space="preserve">2026-06-02</t>
  </si>
  <si>
    <t xml:space="preserve">2026-06-06</t>
  </si>
  <si>
    <t xml:space="preserve">2026-06-16</t>
  </si>
  <si>
    <t xml:space="preserve">2026-06-19</t>
  </si>
  <si>
    <t xml:space="preserve">2026-06-21</t>
  </si>
  <si>
    <t xml:space="preserve">2026-06-23</t>
  </si>
  <si>
    <t xml:space="preserve">2026-06-26</t>
  </si>
  <si>
    <t xml:space="preserve">2026-06-28</t>
  </si>
  <si>
    <t xml:space="preserve">2026-06-29</t>
  </si>
  <si>
    <t xml:space="preserve">2026-06-30</t>
  </si>
  <si>
    <t xml:space="preserve">2026-07-05</t>
  </si>
  <si>
    <t xml:space="preserve">2026-07-09</t>
  </si>
  <si>
    <t xml:space="preserve">2026-07-12</t>
  </si>
  <si>
    <t xml:space="preserve">2026-07-14</t>
  </si>
  <si>
    <t xml:space="preserve">2026-07-15</t>
  </si>
  <si>
    <t xml:space="preserve">2026-07-16</t>
  </si>
  <si>
    <t xml:space="preserve">Request ID</t>
  </si>
  <si>
    <t xml:space="preserve">Date Opened</t>
  </si>
  <si>
    <t xml:space="preserve">Request Type</t>
  </si>
  <si>
    <t xml:space="preserve">Priority</t>
  </si>
  <si>
    <t xml:space="preserve">Owner</t>
  </si>
  <si>
    <t xml:space="preserve">Days Open</t>
  </si>
  <si>
    <t xml:space="preserve">SLA (5d)</t>
  </si>
  <si>
    <t xml:space="preserve">SLA Status</t>
  </si>
  <si>
    <t xml:space="preserve">SR0001</t>
  </si>
  <si>
    <t xml:space="preserve">Account Opening</t>
  </si>
  <si>
    <t xml:space="preserve">Medium</t>
  </si>
  <si>
    <t xml:space="preserve">SR0002</t>
  </si>
  <si>
    <t xml:space="preserve">Address Update</t>
  </si>
  <si>
    <t xml:space="preserve">SR0003</t>
  </si>
  <si>
    <t xml:space="preserve">Trust Funding</t>
  </si>
  <si>
    <t xml:space="preserve">SR0004</t>
  </si>
  <si>
    <t xml:space="preserve">RMD Setup</t>
  </si>
  <si>
    <t xml:space="preserve">SR0005</t>
  </si>
  <si>
    <t xml:space="preserve">Wire Transfer</t>
  </si>
  <si>
    <t xml:space="preserve">Urgent</t>
  </si>
  <si>
    <t xml:space="preserve">SR0006</t>
  </si>
  <si>
    <t xml:space="preserve">SR0007</t>
  </si>
  <si>
    <t xml:space="preserve">Beneficiary Change</t>
  </si>
  <si>
    <t xml:space="preserve">High</t>
  </si>
  <si>
    <t xml:space="preserve">SR0008</t>
  </si>
  <si>
    <t xml:space="preserve">Statement Request</t>
  </si>
  <si>
    <t xml:space="preserve">SR0009</t>
  </si>
  <si>
    <t xml:space="preserve">SR0010</t>
  </si>
  <si>
    <t xml:space="preserve">Low</t>
  </si>
  <si>
    <t xml:space="preserve">SR0011</t>
  </si>
  <si>
    <t xml:space="preserve">SR0012</t>
  </si>
  <si>
    <t xml:space="preserve">SR0013</t>
  </si>
  <si>
    <t xml:space="preserve">SR0014</t>
  </si>
  <si>
    <t xml:space="preserve">SR0015</t>
  </si>
  <si>
    <t xml:space="preserve">SR0016</t>
  </si>
  <si>
    <t xml:space="preserve">SR0017</t>
  </si>
  <si>
    <t xml:space="preserve">SR0018</t>
  </si>
  <si>
    <t xml:space="preserve">SR0019</t>
  </si>
  <si>
    <t xml:space="preserve">SR0020</t>
  </si>
  <si>
    <t xml:space="preserve">SR0021</t>
  </si>
  <si>
    <t xml:space="preserve">SR0022</t>
  </si>
  <si>
    <t xml:space="preserve">SR0023</t>
  </si>
  <si>
    <t xml:space="preserve">SR0024</t>
  </si>
  <si>
    <t xml:space="preserve">SR0025</t>
  </si>
  <si>
    <t xml:space="preserve">SR0026</t>
  </si>
  <si>
    <t xml:space="preserve">SR0027</t>
  </si>
  <si>
    <t xml:space="preserve">SR0028</t>
  </si>
  <si>
    <t xml:space="preserve">SR0029</t>
  </si>
  <si>
    <t xml:space="preserve">SR0030</t>
  </si>
  <si>
    <t xml:space="preserve">SR0031</t>
  </si>
  <si>
    <t xml:space="preserve">SR0032</t>
  </si>
  <si>
    <t xml:space="preserve">SR0033</t>
  </si>
  <si>
    <t xml:space="preserve">SR0034</t>
  </si>
  <si>
    <t xml:space="preserve">SR0035</t>
  </si>
  <si>
    <t xml:space="preserve">SR0036</t>
  </si>
  <si>
    <t xml:space="preserve">SR0037</t>
  </si>
  <si>
    <t xml:space="preserve">SR0038</t>
  </si>
  <si>
    <t xml:space="preserve">SR0039</t>
  </si>
  <si>
    <t xml:space="preserve">SR0040</t>
  </si>
  <si>
    <t xml:space="preserve">SR0041</t>
  </si>
  <si>
    <t xml:space="preserve">SR0042</t>
  </si>
  <si>
    <t xml:space="preserve">SR0043</t>
  </si>
  <si>
    <t xml:space="preserve">SR0044</t>
  </si>
  <si>
    <t xml:space="preserve">SR0045</t>
  </si>
  <si>
    <t xml:space="preserve">Meeting Date</t>
  </si>
  <si>
    <t xml:space="preserve">Purpose</t>
  </si>
  <si>
    <t xml:space="preserve">Materials Ready</t>
  </si>
  <si>
    <t xml:space="preserve">Days Until Meeting</t>
  </si>
  <si>
    <t xml:space="preserve">New Account</t>
  </si>
  <si>
    <t xml:space="preserve">Yes</t>
  </si>
  <si>
    <t xml:space="preserve">Estate Planning</t>
  </si>
  <si>
    <t xml:space="preserve">Quarterly Check-in</t>
  </si>
  <si>
    <t xml:space="preserve">No</t>
  </si>
  <si>
    <t xml:space="preserve">Tax Strategy</t>
  </si>
  <si>
    <t xml:space="preserve">Annual Review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</si>
</sst>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0"/>
    <numFmt numFmtId="168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Calibri"/>
      <family val="0"/>
      <charset val="1"/>
    </font>
    <font>
      <sz val="10"/>
      <color rgb="FF7A7974"/>
      <name val="Calibri"/>
      <family val="0"/>
      <charset val="1"/>
    </font>
    <font>
      <b val="true"/>
      <sz val="9"/>
      <color rgb="FF7A7974"/>
      <name val="Calibri"/>
      <family val="0"/>
      <charset val="1"/>
    </font>
    <font>
      <b val="true"/>
      <sz val="20"/>
      <color rgb="FF1F3864"/>
      <name val="Calibri"/>
      <family val="0"/>
      <charset val="1"/>
    </font>
    <font>
      <b val="true"/>
      <sz val="13"/>
      <color rgb="FF1F3864"/>
      <name val="Calibri"/>
      <family val="0"/>
      <charset val="1"/>
    </font>
    <font>
      <sz val="10"/>
      <color rgb="FF28251D"/>
      <name val="Calibri"/>
      <family val="0"/>
      <charset val="1"/>
    </font>
    <font>
      <sz val="9"/>
      <color rgb="FF7A797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2F7"/>
        <bgColor rgb="FFFFFFFF"/>
      </patternFill>
    </fill>
    <fill>
      <patternFill patternType="solid">
        <fgColor rgb="FFFFFFFF"/>
        <bgColor rgb="FFEEF2F7"/>
      </patternFill>
    </fill>
    <fill>
      <patternFill patternType="solid">
        <fgColor rgb="FF1F3864"/>
        <bgColor rgb="FF33339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/>
      <diagonal/>
    </border>
    <border diagonalUp="false" diagonalDown="false">
      <left style="thin">
        <color rgb="FFD4D1CA"/>
      </left>
      <right style="thin">
        <color rgb="FFD4D1CA"/>
      </right>
      <top/>
      <bottom/>
      <diagonal/>
    </border>
    <border diagonalUp="false" diagonalDown="false">
      <left style="thin">
        <color rgb="FFD4D1CA"/>
      </left>
      <right style="thin">
        <color rgb="FFD4D1CA"/>
      </right>
      <top/>
      <bottom style="thin">
        <color rgb="FFD4D1CA"/>
      </bottom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8251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878787"/>
      <rgbColor rgb="FF9999FF"/>
      <rgbColor rgb="FFC0504D"/>
      <rgbColor rgb="FFEEF2F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8064A2"/>
      <rgbColor rgb="FF7A7974"/>
      <rgbColor rgb="FF1F3864"/>
      <rgbColor rgb="FF339966"/>
      <rgbColor rgb="FF003300"/>
      <rgbColor rgb="FF333300"/>
      <rgbColor rgb="FFA84B2F"/>
      <rgbColor rgb="FF993366"/>
      <rgbColor rgb="FF33339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AUM by Segment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0808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Dashboard!$C$15:$C$17</c:f>
              <c:strCache>
                <c:ptCount val="3"/>
                <c:pt idx="0">
                  <c:v>Mass Affluent</c:v>
                </c:pt>
                <c:pt idx="1">
                  <c:v>High Net Worth</c:v>
                </c:pt>
                <c:pt idx="2">
                  <c:v>Ultra High Net Worth</c:v>
                </c:pt>
              </c:strCache>
            </c:strRef>
          </c:cat>
          <c:val>
            <c:numRef>
              <c:f>Dashboard!$D$15:$D$17</c:f>
              <c:numCache>
                <c:formatCode>\$#,##0</c:formatCode>
                <c:ptCount val="3"/>
                <c:pt idx="0">
                  <c:v>12423890</c:v>
                </c:pt>
                <c:pt idx="1">
                  <c:v>32510703</c:v>
                </c:pt>
                <c:pt idx="2">
                  <c:v>87809901</c:v>
                </c:pt>
              </c:numCache>
            </c:numRef>
          </c:val>
        </c:ser>
        <c:gapWidth val="150"/>
        <c:overlap val="0"/>
        <c:axId val="98715995"/>
        <c:axId val="7903920"/>
      </c:barChart>
      <c:catAx>
        <c:axId val="987159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03920"/>
        <c:crosses val="autoZero"/>
        <c:auto val="1"/>
        <c:lblAlgn val="ctr"/>
        <c:lblOffset val="100"/>
        <c:noMultiLvlLbl val="0"/>
      </c:catAx>
      <c:valAx>
        <c:axId val="79039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71599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Service Requests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Dashboard!$F$15:$F$18</c:f>
              <c:strCache>
                <c:ptCount val="4"/>
                <c:pt idx="0">
                  <c:v>Open</c:v>
                </c:pt>
                <c:pt idx="1">
                  <c:v>In Progress</c:v>
                </c:pt>
                <c:pt idx="2">
                  <c:v>Pending Client</c:v>
                </c:pt>
                <c:pt idx="3">
                  <c:v>Closed</c:v>
                </c:pt>
              </c:strCache>
            </c:strRef>
          </c:cat>
          <c:val>
            <c:numRef>
              <c:f>Dashboard!$G$15:$G$18</c:f>
              <c:numCache>
                <c:formatCode>0</c:formatCode>
                <c:ptCount val="4"/>
                <c:pt idx="0">
                  <c:v>11</c:v>
                </c:pt>
                <c:pt idx="1">
                  <c:v>12</c:v>
                </c:pt>
                <c:pt idx="2">
                  <c:v>11</c:v>
                </c:pt>
                <c:pt idx="3">
                  <c:v>11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Client Interactions — 6-Month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A84B2F"/>
            </a:solidFill>
            <a:ln w="28080">
              <a:solidFill>
                <a:srgbClr val="A84B2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Dashboard!$I$15:$I$20</c:f>
              <c:strCache>
                <c:ptCount val="6"/>
                <c:pt idx="0">
                  <c:v>Feb 2026</c:v>
                </c:pt>
                <c:pt idx="1">
                  <c:v>Mar 2026</c:v>
                </c:pt>
                <c:pt idx="2">
                  <c:v>Apr 2026</c:v>
                </c:pt>
                <c:pt idx="3">
                  <c:v>May 2026</c:v>
                </c:pt>
                <c:pt idx="4">
                  <c:v>Jun 2026</c:v>
                </c:pt>
                <c:pt idx="5">
                  <c:v>Jul 2026</c:v>
                </c:pt>
              </c:strCache>
            </c:strRef>
          </c:cat>
          <c:val>
            <c:numRef>
              <c:f>Dashboard!$J$15:$J$20</c:f>
              <c:numCache>
                <c:formatCode>0</c:formatCode>
                <c:ptCount val="6"/>
                <c:pt idx="0">
                  <c:v>9</c:v>
                </c:pt>
                <c:pt idx="1">
                  <c:v>11</c:v>
                </c:pt>
                <c:pt idx="2">
                  <c:v>23</c:v>
                </c:pt>
                <c:pt idx="3">
                  <c:v>8</c:v>
                </c:pt>
                <c:pt idx="4">
                  <c:v>10</c:v>
                </c:pt>
                <c:pt idx="5">
                  <c:v>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212638"/>
        <c:axId val="53732750"/>
      </c:lineChart>
      <c:catAx>
        <c:axId val="592126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732750"/>
        <c:crosses val="autoZero"/>
        <c:auto val="1"/>
        <c:lblAlgn val="ctr"/>
        <c:lblOffset val="100"/>
        <c:noMultiLvlLbl val="0"/>
      </c:catAx>
      <c:valAx>
        <c:axId val="537327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Interactions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21263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23</xdr:row>
      <xdr:rowOff>0</xdr:rowOff>
    </xdr:from>
    <xdr:to>
      <xdr:col>3</xdr:col>
      <xdr:colOff>1548000</xdr:colOff>
      <xdr:row>36</xdr:row>
      <xdr:rowOff>43200</xdr:rowOff>
    </xdr:to>
    <xdr:graphicFrame>
      <xdr:nvGraphicFramePr>
        <xdr:cNvPr id="1" name="Chart 1"/>
        <xdr:cNvGraphicFramePr/>
      </xdr:nvGraphicFramePr>
      <xdr:xfrm>
        <a:off x="281880" y="452952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0</xdr:rowOff>
    </xdr:from>
    <xdr:to>
      <xdr:col>7</xdr:col>
      <xdr:colOff>702000</xdr:colOff>
      <xdr:row>36</xdr:row>
      <xdr:rowOff>43200</xdr:rowOff>
    </xdr:to>
    <xdr:graphicFrame>
      <xdr:nvGraphicFramePr>
        <xdr:cNvPr id="2" name="Chart 2"/>
        <xdr:cNvGraphicFramePr/>
      </xdr:nvGraphicFramePr>
      <xdr:xfrm>
        <a:off x="4933800" y="452952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702000</xdr:colOff>
      <xdr:row>36</xdr:row>
      <xdr:rowOff>43200</xdr:rowOff>
    </xdr:to>
    <xdr:graphicFrame>
      <xdr:nvGraphicFramePr>
        <xdr:cNvPr id="3" name="Chart 3"/>
        <xdr:cNvGraphicFramePr/>
      </xdr:nvGraphicFramePr>
      <xdr:xfrm>
        <a:off x="8740080" y="452952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lientMaster" displayName="ClientMaster" ref="B2:J42" headerRowCount="1" totalsRowCount="0" totalsRowShown="0">
  <autoFilter ref="B2:J42"/>
  <tableColumns count="9">
    <tableColumn id="1" name="Client ID"/>
    <tableColumn id="2" name="Client Name"/>
    <tableColumn id="3" name="Segment"/>
    <tableColumn id="4" name="Advisor"/>
    <tableColumn id="5" name="Acquisition Date"/>
    <tableColumn id="6" name="Total AUM ($)"/>
    <tableColumn id="7" name="Risk Profile"/>
    <tableColumn id="8" name="Next Review Date"/>
    <tableColumn id="9" name="Statu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Interactions" displayName="Interactions" ref="B2:H72" headerRowCount="1" totalsRowCount="0" totalsRowShown="0">
  <autoFilter ref="B2:H72"/>
  <tableColumns count="7">
    <tableColumn id="1" name="Date"/>
    <tableColumn id="2" name="Client ID"/>
    <tableColumn id="3" name="Client Name"/>
    <tableColumn id="4" name="Channel"/>
    <tableColumn id="5" name="Interaction Type"/>
    <tableColumn id="6" name="Advisor"/>
    <tableColumn id="7" name="Outcom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MeetingPrep" displayName="MeetingPrep" ref="B2:I20" headerRowCount="1" totalsRowCount="0" totalsRowShown="0">
  <autoFilter ref="B2:I20"/>
  <tableColumns count="8">
    <tableColumn id="1" name="Meeting Date"/>
    <tableColumn id="2" name="Client ID"/>
    <tableColumn id="3" name="Client Name"/>
    <tableColumn id="4" name="Segment"/>
    <tableColumn id="5" name="Purpose"/>
    <tableColumn id="6" name="Materials Ready"/>
    <tableColumn id="7" name="Advisor"/>
    <tableColumn id="8" name="Days Until Meeting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ServiceRequests" displayName="ServiceRequests" ref="B2:L47" headerRowCount="1" totalsRowCount="0" totalsRowShown="0">
  <autoFilter ref="B2:L47"/>
  <tableColumns count="11">
    <tableColumn id="1" name="Request ID"/>
    <tableColumn id="2" name="Client ID"/>
    <tableColumn id="3" name="Client Name"/>
    <tableColumn id="4" name="Date Opened"/>
    <tableColumn id="5" name="Request Type"/>
    <tableColumn id="6" name="Priority"/>
    <tableColumn id="7" name="Status"/>
    <tableColumn id="8" name="Owner"/>
    <tableColumn id="9" name="Days Open"/>
    <tableColumn id="10" name="SLA (5d)"/>
    <tableColumn id="11" name="SLA Statu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L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4" min="3" style="0" width="24"/>
    <col collapsed="false" customWidth="true" hidden="false" outlineLevel="0" max="11" min="5" style="0" width="18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C5" s="3" t="s">
        <v>2</v>
      </c>
      <c r="D5" s="3"/>
      <c r="E5" s="3" t="s">
        <v>3</v>
      </c>
      <c r="F5" s="3"/>
      <c r="G5" s="3" t="s">
        <v>4</v>
      </c>
      <c r="H5" s="3"/>
      <c r="I5" s="3" t="s">
        <v>5</v>
      </c>
      <c r="J5" s="3"/>
    </row>
    <row r="6" customFormat="false" ht="15" hidden="false" customHeight="false" outlineLevel="0" collapsed="false">
      <c r="C6" s="4" t="n">
        <f aca="false">COUNTA(Client_Master!C3:C42)</f>
        <v>40</v>
      </c>
      <c r="D6" s="4"/>
      <c r="E6" s="5" t="n">
        <f aca="false">SUM(Client_Master!G3:G42)</f>
        <v>132744494</v>
      </c>
      <c r="F6" s="5"/>
      <c r="G6" s="4" t="n">
        <f aca="false">COUNTIF(Client_Master!J3:J42,"Active")</f>
        <v>33</v>
      </c>
      <c r="H6" s="4"/>
      <c r="I6" s="4" t="n">
        <f aca="false">COUNTIFS(Service_Requests!H3:H47,"&lt;&gt;Closed")</f>
        <v>34</v>
      </c>
      <c r="J6" s="4"/>
    </row>
    <row r="7" customFormat="false" ht="15" hidden="false" customHeight="false" outlineLevel="0" collapsed="false">
      <c r="C7" s="4"/>
      <c r="D7" s="4"/>
      <c r="E7" s="5"/>
      <c r="F7" s="5"/>
      <c r="G7" s="4"/>
      <c r="H7" s="4"/>
      <c r="I7" s="4"/>
      <c r="J7" s="4"/>
    </row>
    <row r="8" customFormat="false" ht="15" hidden="false" customHeight="false" outlineLevel="0" collapsed="false">
      <c r="C8" s="6"/>
      <c r="D8" s="6"/>
      <c r="E8" s="6"/>
      <c r="F8" s="6"/>
      <c r="G8" s="6"/>
      <c r="H8" s="6"/>
      <c r="I8" s="6"/>
      <c r="J8" s="6"/>
    </row>
    <row r="9" customFormat="false" ht="15" hidden="false" customHeight="false" outlineLevel="0" collapsed="false">
      <c r="C9" s="3" t="s">
        <v>6</v>
      </c>
      <c r="D9" s="3"/>
      <c r="E9" s="3" t="s">
        <v>7</v>
      </c>
      <c r="F9" s="3"/>
      <c r="G9" s="3" t="s">
        <v>8</v>
      </c>
      <c r="H9" s="3"/>
      <c r="I9" s="3" t="s">
        <v>9</v>
      </c>
      <c r="J9" s="3"/>
    </row>
    <row r="10" customFormat="false" ht="15" hidden="false" customHeight="false" outlineLevel="0" collapsed="false">
      <c r="C10" s="4" t="n">
        <f aca="false">COUNTIF(Service_Requests!L3:L47,"Overdue")</f>
        <v>30</v>
      </c>
      <c r="D10" s="4"/>
      <c r="E10" s="4" t="n">
        <f aca="false">COUNTIFS(Client_Master!I3:I42,"&gt;="&amp;DATE(2026,7,21),Client_Master!I3:I42,"&lt;="&amp;DATE(2026,7,21)+30)</f>
        <v>14</v>
      </c>
      <c r="F10" s="4"/>
      <c r="G10" s="4" t="n">
        <f aca="false">COUNTIFS(Interactions!B3:B72,"&gt;="&amp;DATE(2026,7,21)-90)</f>
        <v>0</v>
      </c>
      <c r="H10" s="4"/>
      <c r="I10" s="5" t="n">
        <f aca="false">AVERAGE(Client_Master!G3:G42)</f>
        <v>3318612.35</v>
      </c>
      <c r="J10" s="5"/>
    </row>
    <row r="11" customFormat="false" ht="15" hidden="false" customHeight="false" outlineLevel="0" collapsed="false">
      <c r="C11" s="4"/>
      <c r="D11" s="4"/>
      <c r="E11" s="4"/>
      <c r="F11" s="4"/>
      <c r="G11" s="4"/>
      <c r="H11" s="4"/>
      <c r="I11" s="5"/>
      <c r="J11" s="5"/>
    </row>
    <row r="12" customFormat="false" ht="15" hidden="false" customHeight="false" outlineLevel="0" collapsed="false">
      <c r="C12" s="6"/>
      <c r="D12" s="6"/>
      <c r="E12" s="6"/>
      <c r="F12" s="6"/>
      <c r="G12" s="6"/>
      <c r="H12" s="6"/>
      <c r="I12" s="6"/>
      <c r="J12" s="6"/>
    </row>
    <row r="14" customFormat="false" ht="16.15" hidden="false" customHeight="false" outlineLevel="0" collapsed="false">
      <c r="C14" s="7" t="s">
        <v>10</v>
      </c>
      <c r="D14" s="7"/>
      <c r="E14" s="7"/>
      <c r="F14" s="7" t="s">
        <v>11</v>
      </c>
      <c r="G14" s="7"/>
      <c r="H14" s="7"/>
      <c r="I14" s="7" t="s">
        <v>12</v>
      </c>
      <c r="J14" s="7"/>
      <c r="K14" s="7"/>
    </row>
    <row r="15" customFormat="false" ht="15" hidden="false" customHeight="false" outlineLevel="0" collapsed="false">
      <c r="C15" s="8" t="s">
        <v>13</v>
      </c>
      <c r="D15" s="9" t="n">
        <f aca="false">SUMIF(Client_Master!D3:D42,C15,Client_Master!G3:G42)</f>
        <v>12423890</v>
      </c>
      <c r="F15" s="8" t="s">
        <v>14</v>
      </c>
      <c r="G15" s="10" t="n">
        <f aca="false">COUNTIF(Service_Requests!H3:H47,F15)</f>
        <v>11</v>
      </c>
      <c r="I15" s="8" t="s">
        <v>15</v>
      </c>
      <c r="J15" s="10" t="n">
        <f aca="false">SUMPRODUCT((YEAR(Interactions!B3:B72)=2026)*(MONTH(Interactions!B3:B72)=2))</f>
        <v>9</v>
      </c>
    </row>
    <row r="16" customFormat="false" ht="15" hidden="false" customHeight="false" outlineLevel="0" collapsed="false">
      <c r="C16" s="8" t="s">
        <v>16</v>
      </c>
      <c r="D16" s="9" t="n">
        <f aca="false">SUMIF(Client_Master!D3:D42,C16,Client_Master!G3:G42)</f>
        <v>32510703</v>
      </c>
      <c r="F16" s="8" t="s">
        <v>17</v>
      </c>
      <c r="G16" s="10" t="n">
        <f aca="false">COUNTIF(Service_Requests!H3:H47,F16)</f>
        <v>12</v>
      </c>
      <c r="I16" s="8" t="s">
        <v>18</v>
      </c>
      <c r="J16" s="10" t="n">
        <f aca="false">SUMPRODUCT((YEAR(Interactions!B3:B72)=2026)*(MONTH(Interactions!B3:B72)=3))</f>
        <v>11</v>
      </c>
    </row>
    <row r="17" customFormat="false" ht="15" hidden="false" customHeight="false" outlineLevel="0" collapsed="false">
      <c r="C17" s="8" t="s">
        <v>19</v>
      </c>
      <c r="D17" s="9" t="n">
        <f aca="false">SUMIF(Client_Master!D3:D42,C17,Client_Master!G3:G42)</f>
        <v>87809901</v>
      </c>
      <c r="F17" s="8" t="s">
        <v>20</v>
      </c>
      <c r="G17" s="10" t="n">
        <f aca="false">COUNTIF(Service_Requests!H3:H47,F17)</f>
        <v>11</v>
      </c>
      <c r="I17" s="8" t="s">
        <v>21</v>
      </c>
      <c r="J17" s="10" t="n">
        <f aca="false">SUMPRODUCT((YEAR(Interactions!B3:B72)=2026)*(MONTH(Interactions!B3:B72)=4))</f>
        <v>23</v>
      </c>
    </row>
    <row r="18" customFormat="false" ht="15" hidden="false" customHeight="false" outlineLevel="0" collapsed="false">
      <c r="F18" s="8" t="s">
        <v>22</v>
      </c>
      <c r="G18" s="10" t="n">
        <f aca="false">COUNTIF(Service_Requests!H3:H47,F18)</f>
        <v>11</v>
      </c>
      <c r="I18" s="8" t="s">
        <v>23</v>
      </c>
      <c r="J18" s="10" t="n">
        <f aca="false">SUMPRODUCT((YEAR(Interactions!B3:B72)=2026)*(MONTH(Interactions!B3:B72)=5))</f>
        <v>8</v>
      </c>
    </row>
    <row r="19" customFormat="false" ht="15" hidden="false" customHeight="false" outlineLevel="0" collapsed="false">
      <c r="I19" s="8" t="s">
        <v>24</v>
      </c>
      <c r="J19" s="10" t="n">
        <f aca="false">SUMPRODUCT((YEAR(Interactions!B3:B72)=2026)*(MONTH(Interactions!B3:B72)=6))</f>
        <v>10</v>
      </c>
    </row>
    <row r="20" customFormat="false" ht="15" hidden="false" customHeight="false" outlineLevel="0" collapsed="false">
      <c r="I20" s="8" t="s">
        <v>25</v>
      </c>
      <c r="J20" s="10" t="n">
        <f aca="false">SUMPRODUCT((YEAR(Interactions!B3:B72)=2026)*(MONTH(Interactions!B3:B72)=7))</f>
        <v>6</v>
      </c>
    </row>
    <row r="40" customFormat="false" ht="15" hidden="false" customHeight="false" outlineLevel="0" collapsed="false">
      <c r="C40" s="11" t="s">
        <v>26</v>
      </c>
      <c r="D40" s="11"/>
      <c r="E40" s="11"/>
      <c r="F40" s="11"/>
      <c r="G40" s="11"/>
      <c r="H40" s="11"/>
      <c r="I40" s="11"/>
      <c r="J40" s="11"/>
      <c r="K40" s="11"/>
      <c r="L40" s="11"/>
    </row>
  </sheetData>
  <mergeCells count="30">
    <mergeCell ref="B2:J2"/>
    <mergeCell ref="B3:J3"/>
    <mergeCell ref="C5:D5"/>
    <mergeCell ref="E5:F5"/>
    <mergeCell ref="G5:H5"/>
    <mergeCell ref="I5:J5"/>
    <mergeCell ref="C6:D7"/>
    <mergeCell ref="E6:F7"/>
    <mergeCell ref="G6:H7"/>
    <mergeCell ref="I6:J7"/>
    <mergeCell ref="C8:D8"/>
    <mergeCell ref="E8:F8"/>
    <mergeCell ref="G8:H8"/>
    <mergeCell ref="I8:J8"/>
    <mergeCell ref="C9:D9"/>
    <mergeCell ref="E9:F9"/>
    <mergeCell ref="G9:H9"/>
    <mergeCell ref="I9:J9"/>
    <mergeCell ref="C10:D11"/>
    <mergeCell ref="E10:F11"/>
    <mergeCell ref="G10:H11"/>
    <mergeCell ref="I10:J11"/>
    <mergeCell ref="C12:D12"/>
    <mergeCell ref="E12:F12"/>
    <mergeCell ref="G12:H12"/>
    <mergeCell ref="I12:J12"/>
    <mergeCell ref="C14:E14"/>
    <mergeCell ref="F14:H14"/>
    <mergeCell ref="I14:K14"/>
    <mergeCell ref="C40:L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9" min="7" style="0" width="16"/>
    <col collapsed="false" customWidth="true" hidden="false" outlineLevel="0" max="10" min="10" style="0" width="12"/>
  </cols>
  <sheetData>
    <row r="2" customFormat="false" ht="15" hidden="false" customHeight="false" outlineLevel="0" collapsed="false">
      <c r="B2" s="12" t="s">
        <v>27</v>
      </c>
      <c r="C2" s="12" t="s">
        <v>28</v>
      </c>
      <c r="D2" s="12" t="s">
        <v>29</v>
      </c>
      <c r="E2" s="12" t="s">
        <v>30</v>
      </c>
      <c r="F2" s="12" t="s">
        <v>31</v>
      </c>
      <c r="G2" s="12" t="s">
        <v>32</v>
      </c>
      <c r="H2" s="12" t="s">
        <v>33</v>
      </c>
      <c r="I2" s="12" t="s">
        <v>34</v>
      </c>
      <c r="J2" s="12" t="s">
        <v>35</v>
      </c>
    </row>
    <row r="3" customFormat="false" ht="15" hidden="false" customHeight="false" outlineLevel="0" collapsed="false">
      <c r="B3" s="8" t="s">
        <v>36</v>
      </c>
      <c r="C3" s="8" t="s">
        <v>37</v>
      </c>
      <c r="D3" s="8" t="s">
        <v>16</v>
      </c>
      <c r="E3" s="8" t="s">
        <v>38</v>
      </c>
      <c r="F3" s="13" t="n">
        <v>46002</v>
      </c>
      <c r="G3" s="9" t="n">
        <v>3838283</v>
      </c>
      <c r="H3" s="8" t="s">
        <v>39</v>
      </c>
      <c r="I3" s="13" t="n">
        <v>46254</v>
      </c>
      <c r="J3" s="8" t="s">
        <v>40</v>
      </c>
    </row>
    <row r="4" customFormat="false" ht="15" hidden="false" customHeight="false" outlineLevel="0" collapsed="false">
      <c r="B4" s="8" t="s">
        <v>41</v>
      </c>
      <c r="C4" s="8" t="s">
        <v>42</v>
      </c>
      <c r="D4" s="8" t="s">
        <v>16</v>
      </c>
      <c r="E4" s="8" t="s">
        <v>43</v>
      </c>
      <c r="F4" s="13" t="n">
        <v>45974</v>
      </c>
      <c r="G4" s="9" t="n">
        <v>1111299</v>
      </c>
      <c r="H4" s="8" t="s">
        <v>44</v>
      </c>
      <c r="I4" s="13" t="n">
        <v>46191</v>
      </c>
      <c r="J4" s="8" t="s">
        <v>40</v>
      </c>
    </row>
    <row r="5" customFormat="false" ht="15" hidden="false" customHeight="false" outlineLevel="0" collapsed="false">
      <c r="B5" s="8" t="s">
        <v>45</v>
      </c>
      <c r="C5" s="8" t="s">
        <v>46</v>
      </c>
      <c r="D5" s="8" t="s">
        <v>16</v>
      </c>
      <c r="E5" s="8" t="s">
        <v>38</v>
      </c>
      <c r="F5" s="13" t="n">
        <v>44386</v>
      </c>
      <c r="G5" s="9" t="n">
        <v>4182668</v>
      </c>
      <c r="H5" s="8" t="s">
        <v>44</v>
      </c>
      <c r="I5" s="13" t="n">
        <v>46240</v>
      </c>
      <c r="J5" s="8" t="s">
        <v>40</v>
      </c>
    </row>
    <row r="6" customFormat="false" ht="15" hidden="false" customHeight="false" outlineLevel="0" collapsed="false">
      <c r="B6" s="8" t="s">
        <v>47</v>
      </c>
      <c r="C6" s="8" t="s">
        <v>48</v>
      </c>
      <c r="D6" s="8" t="s">
        <v>16</v>
      </c>
      <c r="E6" s="8" t="s">
        <v>38</v>
      </c>
      <c r="F6" s="13" t="n">
        <v>44711</v>
      </c>
      <c r="G6" s="9" t="n">
        <v>2593530</v>
      </c>
      <c r="H6" s="8" t="s">
        <v>39</v>
      </c>
      <c r="I6" s="13" t="n">
        <v>46255</v>
      </c>
      <c r="J6" s="8" t="s">
        <v>40</v>
      </c>
    </row>
    <row r="7" customFormat="false" ht="15" hidden="false" customHeight="false" outlineLevel="0" collapsed="false">
      <c r="B7" s="8" t="s">
        <v>49</v>
      </c>
      <c r="C7" s="8" t="s">
        <v>50</v>
      </c>
      <c r="D7" s="8" t="s">
        <v>13</v>
      </c>
      <c r="E7" s="8" t="s">
        <v>51</v>
      </c>
      <c r="F7" s="13" t="n">
        <v>44696</v>
      </c>
      <c r="G7" s="9" t="n">
        <v>812275</v>
      </c>
      <c r="H7" s="8" t="s">
        <v>39</v>
      </c>
      <c r="I7" s="13" t="n">
        <v>46338</v>
      </c>
      <c r="J7" s="8" t="s">
        <v>40</v>
      </c>
    </row>
    <row r="8" customFormat="false" ht="15" hidden="false" customHeight="false" outlineLevel="0" collapsed="false">
      <c r="B8" s="8" t="s">
        <v>52</v>
      </c>
      <c r="C8" s="8" t="s">
        <v>53</v>
      </c>
      <c r="D8" s="8" t="s">
        <v>19</v>
      </c>
      <c r="E8" s="8" t="s">
        <v>54</v>
      </c>
      <c r="F8" s="13" t="n">
        <v>44554</v>
      </c>
      <c r="G8" s="9" t="n">
        <v>11452134</v>
      </c>
      <c r="H8" s="8" t="s">
        <v>39</v>
      </c>
      <c r="I8" s="13" t="n">
        <v>46204</v>
      </c>
      <c r="J8" s="8" t="s">
        <v>40</v>
      </c>
    </row>
    <row r="9" customFormat="false" ht="15" hidden="false" customHeight="false" outlineLevel="0" collapsed="false">
      <c r="B9" s="8" t="s">
        <v>55</v>
      </c>
      <c r="C9" s="8" t="s">
        <v>56</v>
      </c>
      <c r="D9" s="8" t="s">
        <v>13</v>
      </c>
      <c r="E9" s="8" t="s">
        <v>38</v>
      </c>
      <c r="F9" s="13" t="n">
        <v>45171</v>
      </c>
      <c r="G9" s="9" t="n">
        <v>648591</v>
      </c>
      <c r="H9" s="8" t="s">
        <v>57</v>
      </c>
      <c r="I9" s="13" t="n">
        <v>46258</v>
      </c>
      <c r="J9" s="8" t="s">
        <v>58</v>
      </c>
    </row>
    <row r="10" customFormat="false" ht="15" hidden="false" customHeight="false" outlineLevel="0" collapsed="false">
      <c r="B10" s="8" t="s">
        <v>59</v>
      </c>
      <c r="C10" s="8" t="s">
        <v>60</v>
      </c>
      <c r="D10" s="8" t="s">
        <v>13</v>
      </c>
      <c r="E10" s="8" t="s">
        <v>54</v>
      </c>
      <c r="F10" s="13" t="n">
        <v>44610</v>
      </c>
      <c r="G10" s="9" t="n">
        <v>929514</v>
      </c>
      <c r="H10" s="8" t="s">
        <v>39</v>
      </c>
      <c r="I10" s="13" t="n">
        <v>46225</v>
      </c>
      <c r="J10" s="8" t="s">
        <v>40</v>
      </c>
    </row>
    <row r="11" customFormat="false" ht="15" hidden="false" customHeight="false" outlineLevel="0" collapsed="false">
      <c r="B11" s="8" t="s">
        <v>61</v>
      </c>
      <c r="C11" s="8" t="s">
        <v>62</v>
      </c>
      <c r="D11" s="8" t="s">
        <v>16</v>
      </c>
      <c r="E11" s="8" t="s">
        <v>51</v>
      </c>
      <c r="F11" s="13" t="n">
        <v>45404</v>
      </c>
      <c r="G11" s="9" t="n">
        <v>2132243</v>
      </c>
      <c r="H11" s="8" t="s">
        <v>44</v>
      </c>
      <c r="I11" s="13" t="n">
        <v>46320</v>
      </c>
      <c r="J11" s="8" t="s">
        <v>40</v>
      </c>
    </row>
    <row r="12" customFormat="false" ht="15" hidden="false" customHeight="false" outlineLevel="0" collapsed="false">
      <c r="B12" s="8" t="s">
        <v>63</v>
      </c>
      <c r="C12" s="8" t="s">
        <v>64</v>
      </c>
      <c r="D12" s="8" t="s">
        <v>16</v>
      </c>
      <c r="E12" s="8" t="s">
        <v>54</v>
      </c>
      <c r="F12" s="13" t="n">
        <v>45875</v>
      </c>
      <c r="G12" s="9" t="n">
        <v>1277615</v>
      </c>
      <c r="H12" s="8" t="s">
        <v>44</v>
      </c>
      <c r="I12" s="13" t="n">
        <v>46242</v>
      </c>
      <c r="J12" s="8" t="s">
        <v>40</v>
      </c>
    </row>
    <row r="13" customFormat="false" ht="15" hidden="false" customHeight="false" outlineLevel="0" collapsed="false">
      <c r="B13" s="8" t="s">
        <v>65</v>
      </c>
      <c r="C13" s="8" t="s">
        <v>66</v>
      </c>
      <c r="D13" s="8" t="s">
        <v>19</v>
      </c>
      <c r="E13" s="8" t="s">
        <v>51</v>
      </c>
      <c r="F13" s="13" t="n">
        <v>44816</v>
      </c>
      <c r="G13" s="9" t="n">
        <v>9793975</v>
      </c>
      <c r="H13" s="8" t="s">
        <v>57</v>
      </c>
      <c r="I13" s="13" t="n">
        <v>46238</v>
      </c>
      <c r="J13" s="8" t="s">
        <v>40</v>
      </c>
    </row>
    <row r="14" customFormat="false" ht="15" hidden="false" customHeight="false" outlineLevel="0" collapsed="false">
      <c r="B14" s="8" t="s">
        <v>67</v>
      </c>
      <c r="C14" s="8" t="s">
        <v>68</v>
      </c>
      <c r="D14" s="8" t="s">
        <v>13</v>
      </c>
      <c r="E14" s="8" t="s">
        <v>54</v>
      </c>
      <c r="F14" s="13" t="n">
        <v>45028</v>
      </c>
      <c r="G14" s="9" t="n">
        <v>479974</v>
      </c>
      <c r="H14" s="8" t="s">
        <v>44</v>
      </c>
      <c r="I14" s="13" t="n">
        <v>46333</v>
      </c>
      <c r="J14" s="8" t="s">
        <v>40</v>
      </c>
    </row>
    <row r="15" customFormat="false" ht="15" hidden="false" customHeight="false" outlineLevel="0" collapsed="false">
      <c r="B15" s="8" t="s">
        <v>69</v>
      </c>
      <c r="C15" s="8" t="s">
        <v>70</v>
      </c>
      <c r="D15" s="8" t="s">
        <v>13</v>
      </c>
      <c r="E15" s="8" t="s">
        <v>71</v>
      </c>
      <c r="F15" s="13" t="n">
        <v>45732</v>
      </c>
      <c r="G15" s="9" t="n">
        <v>692666</v>
      </c>
      <c r="H15" s="8" t="s">
        <v>39</v>
      </c>
      <c r="I15" s="13" t="n">
        <v>46196</v>
      </c>
      <c r="J15" s="8" t="s">
        <v>40</v>
      </c>
    </row>
    <row r="16" customFormat="false" ht="15" hidden="false" customHeight="false" outlineLevel="0" collapsed="false">
      <c r="B16" s="8" t="s">
        <v>72</v>
      </c>
      <c r="C16" s="8" t="s">
        <v>73</v>
      </c>
      <c r="D16" s="8" t="s">
        <v>13</v>
      </c>
      <c r="E16" s="8" t="s">
        <v>38</v>
      </c>
      <c r="F16" s="13" t="n">
        <v>44187</v>
      </c>
      <c r="G16" s="9" t="n">
        <v>370116</v>
      </c>
      <c r="H16" s="8" t="s">
        <v>57</v>
      </c>
      <c r="I16" s="13" t="n">
        <v>46319</v>
      </c>
      <c r="J16" s="8" t="s">
        <v>40</v>
      </c>
    </row>
    <row r="17" customFormat="false" ht="15" hidden="false" customHeight="false" outlineLevel="0" collapsed="false">
      <c r="B17" s="8" t="s">
        <v>74</v>
      </c>
      <c r="C17" s="8" t="s">
        <v>62</v>
      </c>
      <c r="D17" s="8" t="s">
        <v>16</v>
      </c>
      <c r="E17" s="8" t="s">
        <v>38</v>
      </c>
      <c r="F17" s="13" t="n">
        <v>44711</v>
      </c>
      <c r="G17" s="9" t="n">
        <v>4028673</v>
      </c>
      <c r="H17" s="8" t="s">
        <v>57</v>
      </c>
      <c r="I17" s="13" t="n">
        <v>46212</v>
      </c>
      <c r="J17" s="8" t="s">
        <v>40</v>
      </c>
    </row>
    <row r="18" customFormat="false" ht="15" hidden="false" customHeight="false" outlineLevel="0" collapsed="false">
      <c r="B18" s="8" t="s">
        <v>75</v>
      </c>
      <c r="C18" s="8" t="s">
        <v>76</v>
      </c>
      <c r="D18" s="8" t="s">
        <v>19</v>
      </c>
      <c r="E18" s="8" t="s">
        <v>43</v>
      </c>
      <c r="F18" s="13" t="n">
        <v>45373</v>
      </c>
      <c r="G18" s="9" t="n">
        <v>11674349</v>
      </c>
      <c r="H18" s="8" t="s">
        <v>44</v>
      </c>
      <c r="I18" s="13" t="n">
        <v>46313</v>
      </c>
      <c r="J18" s="8" t="s">
        <v>77</v>
      </c>
    </row>
    <row r="19" customFormat="false" ht="15" hidden="false" customHeight="false" outlineLevel="0" collapsed="false">
      <c r="B19" s="8" t="s">
        <v>78</v>
      </c>
      <c r="C19" s="8" t="s">
        <v>79</v>
      </c>
      <c r="D19" s="8" t="s">
        <v>13</v>
      </c>
      <c r="E19" s="8" t="s">
        <v>38</v>
      </c>
      <c r="F19" s="13" t="n">
        <v>45443</v>
      </c>
      <c r="G19" s="9" t="n">
        <v>878038</v>
      </c>
      <c r="H19" s="8" t="s">
        <v>57</v>
      </c>
      <c r="I19" s="13" t="n">
        <v>46322</v>
      </c>
      <c r="J19" s="8" t="s">
        <v>77</v>
      </c>
    </row>
    <row r="20" customFormat="false" ht="15" hidden="false" customHeight="false" outlineLevel="0" collapsed="false">
      <c r="B20" s="8" t="s">
        <v>80</v>
      </c>
      <c r="C20" s="8" t="s">
        <v>81</v>
      </c>
      <c r="D20" s="8" t="s">
        <v>13</v>
      </c>
      <c r="E20" s="8" t="s">
        <v>38</v>
      </c>
      <c r="F20" s="13" t="n">
        <v>45646</v>
      </c>
      <c r="G20" s="9" t="n">
        <v>502572</v>
      </c>
      <c r="H20" s="8" t="s">
        <v>39</v>
      </c>
      <c r="I20" s="13" t="n">
        <v>46276</v>
      </c>
      <c r="J20" s="8" t="s">
        <v>40</v>
      </c>
    </row>
    <row r="21" customFormat="false" ht="15" hidden="false" customHeight="false" outlineLevel="0" collapsed="false">
      <c r="B21" s="8" t="s">
        <v>82</v>
      </c>
      <c r="C21" s="8" t="s">
        <v>83</v>
      </c>
      <c r="D21" s="8" t="s">
        <v>13</v>
      </c>
      <c r="E21" s="8" t="s">
        <v>71</v>
      </c>
      <c r="F21" s="13" t="n">
        <v>44114</v>
      </c>
      <c r="G21" s="9" t="n">
        <v>384628</v>
      </c>
      <c r="H21" s="8" t="s">
        <v>84</v>
      </c>
      <c r="I21" s="13" t="n">
        <v>46201</v>
      </c>
      <c r="J21" s="8" t="s">
        <v>58</v>
      </c>
    </row>
    <row r="22" customFormat="false" ht="15" hidden="false" customHeight="false" outlineLevel="0" collapsed="false">
      <c r="B22" s="8" t="s">
        <v>85</v>
      </c>
      <c r="C22" s="8" t="s">
        <v>86</v>
      </c>
      <c r="D22" s="8" t="s">
        <v>19</v>
      </c>
      <c r="E22" s="8" t="s">
        <v>71</v>
      </c>
      <c r="F22" s="13" t="n">
        <v>45428</v>
      </c>
      <c r="G22" s="9" t="n">
        <v>11749509</v>
      </c>
      <c r="H22" s="8" t="s">
        <v>57</v>
      </c>
      <c r="I22" s="13" t="n">
        <v>46251</v>
      </c>
      <c r="J22" s="8" t="s">
        <v>40</v>
      </c>
    </row>
    <row r="23" customFormat="false" ht="15" hidden="false" customHeight="false" outlineLevel="0" collapsed="false">
      <c r="B23" s="8" t="s">
        <v>87</v>
      </c>
      <c r="C23" s="8" t="s">
        <v>88</v>
      </c>
      <c r="D23" s="8" t="s">
        <v>13</v>
      </c>
      <c r="E23" s="8" t="s">
        <v>71</v>
      </c>
      <c r="F23" s="13" t="n">
        <v>44575</v>
      </c>
      <c r="G23" s="9" t="n">
        <v>485612</v>
      </c>
      <c r="H23" s="8" t="s">
        <v>39</v>
      </c>
      <c r="I23" s="13" t="n">
        <v>46296</v>
      </c>
      <c r="J23" s="8" t="s">
        <v>40</v>
      </c>
    </row>
    <row r="24" customFormat="false" ht="15" hidden="false" customHeight="false" outlineLevel="0" collapsed="false">
      <c r="B24" s="8" t="s">
        <v>89</v>
      </c>
      <c r="C24" s="8" t="s">
        <v>90</v>
      </c>
      <c r="D24" s="8" t="s">
        <v>13</v>
      </c>
      <c r="E24" s="8" t="s">
        <v>38</v>
      </c>
      <c r="F24" s="13" t="n">
        <v>45162</v>
      </c>
      <c r="G24" s="9" t="n">
        <v>490062</v>
      </c>
      <c r="H24" s="8" t="s">
        <v>39</v>
      </c>
      <c r="I24" s="13" t="n">
        <v>46334</v>
      </c>
      <c r="J24" s="8" t="s">
        <v>40</v>
      </c>
    </row>
    <row r="25" customFormat="false" ht="15" hidden="false" customHeight="false" outlineLevel="0" collapsed="false">
      <c r="B25" s="8" t="s">
        <v>91</v>
      </c>
      <c r="C25" s="8" t="s">
        <v>92</v>
      </c>
      <c r="D25" s="8" t="s">
        <v>19</v>
      </c>
      <c r="E25" s="8" t="s">
        <v>51</v>
      </c>
      <c r="F25" s="13" t="n">
        <v>44751</v>
      </c>
      <c r="G25" s="9" t="n">
        <v>12188594</v>
      </c>
      <c r="H25" s="8" t="s">
        <v>44</v>
      </c>
      <c r="I25" s="13" t="n">
        <v>46202</v>
      </c>
      <c r="J25" s="8" t="s">
        <v>40</v>
      </c>
    </row>
    <row r="26" customFormat="false" ht="15" hidden="false" customHeight="false" outlineLevel="0" collapsed="false">
      <c r="B26" s="8" t="s">
        <v>93</v>
      </c>
      <c r="C26" s="8" t="s">
        <v>94</v>
      </c>
      <c r="D26" s="8" t="s">
        <v>16</v>
      </c>
      <c r="E26" s="8" t="s">
        <v>38</v>
      </c>
      <c r="F26" s="13" t="n">
        <v>44168</v>
      </c>
      <c r="G26" s="9" t="n">
        <v>1406557</v>
      </c>
      <c r="H26" s="8" t="s">
        <v>84</v>
      </c>
      <c r="I26" s="13" t="n">
        <v>46246</v>
      </c>
      <c r="J26" s="8" t="s">
        <v>40</v>
      </c>
    </row>
    <row r="27" customFormat="false" ht="15" hidden="false" customHeight="false" outlineLevel="0" collapsed="false">
      <c r="B27" s="8" t="s">
        <v>95</v>
      </c>
      <c r="C27" s="8" t="s">
        <v>96</v>
      </c>
      <c r="D27" s="8" t="s">
        <v>13</v>
      </c>
      <c r="E27" s="8" t="s">
        <v>38</v>
      </c>
      <c r="F27" s="13" t="n">
        <v>44421</v>
      </c>
      <c r="G27" s="9" t="n">
        <v>313556</v>
      </c>
      <c r="H27" s="8" t="s">
        <v>84</v>
      </c>
      <c r="I27" s="13" t="n">
        <v>46303</v>
      </c>
      <c r="J27" s="8" t="s">
        <v>40</v>
      </c>
    </row>
    <row r="28" customFormat="false" ht="15" hidden="false" customHeight="false" outlineLevel="0" collapsed="false">
      <c r="B28" s="8" t="s">
        <v>97</v>
      </c>
      <c r="C28" s="8" t="s">
        <v>98</v>
      </c>
      <c r="D28" s="8" t="s">
        <v>16</v>
      </c>
      <c r="E28" s="8" t="s">
        <v>71</v>
      </c>
      <c r="F28" s="13" t="n">
        <v>45657</v>
      </c>
      <c r="G28" s="9" t="n">
        <v>2769499</v>
      </c>
      <c r="H28" s="8" t="s">
        <v>44</v>
      </c>
      <c r="I28" s="13" t="n">
        <v>46247</v>
      </c>
      <c r="J28" s="8" t="s">
        <v>40</v>
      </c>
    </row>
    <row r="29" customFormat="false" ht="15" hidden="false" customHeight="false" outlineLevel="0" collapsed="false">
      <c r="B29" s="8" t="s">
        <v>99</v>
      </c>
      <c r="C29" s="8" t="s">
        <v>100</v>
      </c>
      <c r="D29" s="8" t="s">
        <v>13</v>
      </c>
      <c r="E29" s="8" t="s">
        <v>38</v>
      </c>
      <c r="F29" s="13" t="n">
        <v>45081</v>
      </c>
      <c r="G29" s="9" t="n">
        <v>933823</v>
      </c>
      <c r="H29" s="8" t="s">
        <v>39</v>
      </c>
      <c r="I29" s="13" t="n">
        <v>46203</v>
      </c>
      <c r="J29" s="8" t="s">
        <v>40</v>
      </c>
    </row>
    <row r="30" customFormat="false" ht="15" hidden="false" customHeight="false" outlineLevel="0" collapsed="false">
      <c r="B30" s="8" t="s">
        <v>101</v>
      </c>
      <c r="C30" s="8" t="s">
        <v>102</v>
      </c>
      <c r="D30" s="8" t="s">
        <v>19</v>
      </c>
      <c r="E30" s="8" t="s">
        <v>51</v>
      </c>
      <c r="F30" s="13" t="n">
        <v>45136</v>
      </c>
      <c r="G30" s="9" t="n">
        <v>6967477</v>
      </c>
      <c r="H30" s="8" t="s">
        <v>44</v>
      </c>
      <c r="I30" s="13" t="n">
        <v>46226</v>
      </c>
      <c r="J30" s="8" t="s">
        <v>40</v>
      </c>
    </row>
    <row r="31" customFormat="false" ht="15" hidden="false" customHeight="false" outlineLevel="0" collapsed="false">
      <c r="B31" s="8" t="s">
        <v>103</v>
      </c>
      <c r="C31" s="8" t="s">
        <v>104</v>
      </c>
      <c r="D31" s="8" t="s">
        <v>13</v>
      </c>
      <c r="E31" s="8" t="s">
        <v>51</v>
      </c>
      <c r="F31" s="13" t="n">
        <v>44505</v>
      </c>
      <c r="G31" s="9" t="n">
        <v>832765</v>
      </c>
      <c r="H31" s="8" t="s">
        <v>84</v>
      </c>
      <c r="I31" s="13" t="n">
        <v>46251</v>
      </c>
      <c r="J31" s="8" t="s">
        <v>77</v>
      </c>
    </row>
    <row r="32" customFormat="false" ht="15" hidden="false" customHeight="false" outlineLevel="0" collapsed="false">
      <c r="B32" s="8" t="s">
        <v>105</v>
      </c>
      <c r="C32" s="8" t="s">
        <v>106</v>
      </c>
      <c r="D32" s="8" t="s">
        <v>13</v>
      </c>
      <c r="E32" s="8" t="s">
        <v>43</v>
      </c>
      <c r="F32" s="13" t="n">
        <v>44889</v>
      </c>
      <c r="G32" s="9" t="n">
        <v>313918</v>
      </c>
      <c r="H32" s="8" t="s">
        <v>57</v>
      </c>
      <c r="I32" s="13" t="n">
        <v>46239</v>
      </c>
      <c r="J32" s="8" t="s">
        <v>58</v>
      </c>
    </row>
    <row r="33" customFormat="false" ht="15" hidden="false" customHeight="false" outlineLevel="0" collapsed="false">
      <c r="B33" s="8" t="s">
        <v>107</v>
      </c>
      <c r="C33" s="8" t="s">
        <v>108</v>
      </c>
      <c r="D33" s="8" t="s">
        <v>13</v>
      </c>
      <c r="E33" s="8" t="s">
        <v>38</v>
      </c>
      <c r="F33" s="13" t="n">
        <v>44152</v>
      </c>
      <c r="G33" s="9" t="n">
        <v>782496</v>
      </c>
      <c r="H33" s="8" t="s">
        <v>39</v>
      </c>
      <c r="I33" s="13" t="n">
        <v>46312</v>
      </c>
      <c r="J33" s="8" t="s">
        <v>77</v>
      </c>
    </row>
    <row r="34" customFormat="false" ht="15" hidden="false" customHeight="false" outlineLevel="0" collapsed="false">
      <c r="B34" s="8" t="s">
        <v>109</v>
      </c>
      <c r="C34" s="8" t="s">
        <v>110</v>
      </c>
      <c r="D34" s="8" t="s">
        <v>16</v>
      </c>
      <c r="E34" s="8" t="s">
        <v>38</v>
      </c>
      <c r="F34" s="13" t="n">
        <v>45824</v>
      </c>
      <c r="G34" s="9" t="n">
        <v>4734135</v>
      </c>
      <c r="H34" s="8" t="s">
        <v>44</v>
      </c>
      <c r="I34" s="13" t="n">
        <v>46336</v>
      </c>
      <c r="J34" s="8" t="s">
        <v>40</v>
      </c>
    </row>
    <row r="35" customFormat="false" ht="15" hidden="false" customHeight="false" outlineLevel="0" collapsed="false">
      <c r="B35" s="8" t="s">
        <v>111</v>
      </c>
      <c r="C35" s="8" t="s">
        <v>112</v>
      </c>
      <c r="D35" s="8" t="s">
        <v>16</v>
      </c>
      <c r="E35" s="8" t="s">
        <v>43</v>
      </c>
      <c r="F35" s="13" t="n">
        <v>45942</v>
      </c>
      <c r="G35" s="9" t="n">
        <v>2326951</v>
      </c>
      <c r="H35" s="8" t="s">
        <v>57</v>
      </c>
      <c r="I35" s="13" t="n">
        <v>46342</v>
      </c>
      <c r="J35" s="8" t="s">
        <v>40</v>
      </c>
    </row>
    <row r="36" customFormat="false" ht="15" hidden="false" customHeight="false" outlineLevel="0" collapsed="false">
      <c r="B36" s="8" t="s">
        <v>113</v>
      </c>
      <c r="C36" s="8" t="s">
        <v>114</v>
      </c>
      <c r="D36" s="8" t="s">
        <v>13</v>
      </c>
      <c r="E36" s="8" t="s">
        <v>54</v>
      </c>
      <c r="F36" s="13" t="n">
        <v>44818</v>
      </c>
      <c r="G36" s="9" t="n">
        <v>729434</v>
      </c>
      <c r="H36" s="8" t="s">
        <v>57</v>
      </c>
      <c r="I36" s="13" t="n">
        <v>46245</v>
      </c>
      <c r="J36" s="8" t="s">
        <v>40</v>
      </c>
    </row>
    <row r="37" customFormat="false" ht="15" hidden="false" customHeight="false" outlineLevel="0" collapsed="false">
      <c r="B37" s="8" t="s">
        <v>115</v>
      </c>
      <c r="C37" s="8" t="s">
        <v>116</v>
      </c>
      <c r="D37" s="8" t="s">
        <v>19</v>
      </c>
      <c r="E37" s="8" t="s">
        <v>38</v>
      </c>
      <c r="F37" s="13" t="n">
        <v>45807</v>
      </c>
      <c r="G37" s="9" t="n">
        <v>12152271</v>
      </c>
      <c r="H37" s="8" t="s">
        <v>57</v>
      </c>
      <c r="I37" s="13" t="n">
        <v>46186</v>
      </c>
      <c r="J37" s="8" t="s">
        <v>40</v>
      </c>
    </row>
    <row r="38" customFormat="false" ht="15" hidden="false" customHeight="false" outlineLevel="0" collapsed="false">
      <c r="B38" s="8" t="s">
        <v>117</v>
      </c>
      <c r="C38" s="8" t="s">
        <v>118</v>
      </c>
      <c r="D38" s="8" t="s">
        <v>13</v>
      </c>
      <c r="E38" s="8" t="s">
        <v>71</v>
      </c>
      <c r="F38" s="13" t="n">
        <v>44675</v>
      </c>
      <c r="G38" s="9" t="n">
        <v>709469</v>
      </c>
      <c r="H38" s="8" t="s">
        <v>57</v>
      </c>
      <c r="I38" s="13" t="n">
        <v>46201</v>
      </c>
      <c r="J38" s="8" t="s">
        <v>40</v>
      </c>
    </row>
    <row r="39" customFormat="false" ht="15" hidden="false" customHeight="false" outlineLevel="0" collapsed="false">
      <c r="B39" s="8" t="s">
        <v>119</v>
      </c>
      <c r="C39" s="8" t="s">
        <v>120</v>
      </c>
      <c r="D39" s="8" t="s">
        <v>16</v>
      </c>
      <c r="E39" s="8" t="s">
        <v>71</v>
      </c>
      <c r="F39" s="13" t="n">
        <v>46072</v>
      </c>
      <c r="G39" s="9" t="n">
        <v>2109250</v>
      </c>
      <c r="H39" s="8" t="s">
        <v>39</v>
      </c>
      <c r="I39" s="13" t="n">
        <v>46325</v>
      </c>
      <c r="J39" s="8" t="s">
        <v>40</v>
      </c>
    </row>
    <row r="40" customFormat="false" ht="15" hidden="false" customHeight="false" outlineLevel="0" collapsed="false">
      <c r="B40" s="8" t="s">
        <v>121</v>
      </c>
      <c r="C40" s="8" t="s">
        <v>122</v>
      </c>
      <c r="D40" s="8" t="s">
        <v>19</v>
      </c>
      <c r="E40" s="8" t="s">
        <v>54</v>
      </c>
      <c r="F40" s="13" t="n">
        <v>45468</v>
      </c>
      <c r="G40" s="9" t="n">
        <v>11831592</v>
      </c>
      <c r="H40" s="8" t="s">
        <v>57</v>
      </c>
      <c r="I40" s="13" t="n">
        <v>46253</v>
      </c>
      <c r="J40" s="8" t="s">
        <v>40</v>
      </c>
    </row>
    <row r="41" customFormat="false" ht="15" hidden="false" customHeight="false" outlineLevel="0" collapsed="false">
      <c r="B41" s="8" t="s">
        <v>123</v>
      </c>
      <c r="C41" s="8" t="s">
        <v>124</v>
      </c>
      <c r="D41" s="8" t="s">
        <v>13</v>
      </c>
      <c r="E41" s="8" t="s">
        <v>54</v>
      </c>
      <c r="F41" s="13" t="n">
        <v>45076</v>
      </c>
      <c r="G41" s="9" t="n">
        <v>296228</v>
      </c>
      <c r="H41" s="8" t="s">
        <v>39</v>
      </c>
      <c r="I41" s="13" t="n">
        <v>46197</v>
      </c>
      <c r="J41" s="8" t="s">
        <v>40</v>
      </c>
    </row>
    <row r="42" customFormat="false" ht="15" hidden="false" customHeight="false" outlineLevel="0" collapsed="false">
      <c r="B42" s="8" t="s">
        <v>125</v>
      </c>
      <c r="C42" s="8" t="s">
        <v>126</v>
      </c>
      <c r="D42" s="8" t="s">
        <v>13</v>
      </c>
      <c r="E42" s="8" t="s">
        <v>51</v>
      </c>
      <c r="F42" s="13" t="n">
        <v>45569</v>
      </c>
      <c r="G42" s="9" t="n">
        <v>838153</v>
      </c>
      <c r="H42" s="8" t="s">
        <v>39</v>
      </c>
      <c r="I42" s="13" t="n">
        <v>46251</v>
      </c>
      <c r="J42" s="8" t="s">
        <v>40</v>
      </c>
    </row>
  </sheetData>
  <autoFilter ref="B2:J42"/>
  <conditionalFormatting sqref="G3:G42">
    <cfRule type="dataBar" priority="2">
      <dataBar showValue="1" minLength="10" maxLength="90">
        <cfvo type="min" val="0"/>
        <cfvo type="max" val="0"/>
        <color rgb="FF2F6B7A"/>
      </dataBar>
      <extLst>
        <ext xmlns:x14="http://schemas.microsoft.com/office/spreadsheetml/2009/9/main" uri="{B025F937-C7B1-47D3-B67F-A62EFF666E3E}">
          <x14:id>{B9F048E8-8058-4834-A71E-4580E8CA4652}</x14:id>
        </ext>
      </extLst>
    </cfRule>
  </conditionalFormatting>
  <conditionalFormatting sqref="I3:I42">
    <cfRule type="cellIs" priority="3" operator="lessThan" aboveAverage="0" equalAverage="0" bottom="0" percent="0" rank="0" text="" dxfId="6">
      <formula>DATE(2026,7,21)</formula>
    </cfRule>
  </conditionalFormatting>
  <conditionalFormatting sqref="J3:J42">
    <cfRule type="cellIs" priority="4" operator="equal" aboveAverage="0" equalAverage="0" bottom="0" percent="0" rank="0" text="" dxfId="7">
      <formula>"Dormant"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F048E8-8058-4834-A71E-4580E8CA4652}">
            <x14:dataBar minLength="10" maxLength="90" axisPosition="none" gradient="true">
              <x14:cfvo type="min"/>
              <x14:cfvo type="max"/>
              <x14:negativeFillColor rgb="FF2F6B7A"/>
              <x14:axisColor rgb="FF000000"/>
            </x14:dataBar>
          </x14:cfRule>
          <xm:sqref>G3:G42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8" min="7" style="0" width="12"/>
  </cols>
  <sheetData>
    <row r="2" customFormat="false" ht="15" hidden="false" customHeight="false" outlineLevel="0" collapsed="false">
      <c r="B2" s="12" t="s">
        <v>127</v>
      </c>
      <c r="C2" s="12" t="s">
        <v>27</v>
      </c>
      <c r="D2" s="12" t="s">
        <v>28</v>
      </c>
      <c r="E2" s="12" t="s">
        <v>128</v>
      </c>
      <c r="F2" s="12" t="s">
        <v>129</v>
      </c>
      <c r="G2" s="12" t="s">
        <v>30</v>
      </c>
      <c r="H2" s="12" t="s">
        <v>130</v>
      </c>
    </row>
    <row r="3" customFormat="false" ht="15" hidden="false" customHeight="false" outlineLevel="0" collapsed="false">
      <c r="B3" s="13" t="s">
        <v>131</v>
      </c>
      <c r="C3" s="8" t="s">
        <v>85</v>
      </c>
      <c r="D3" s="8" t="s">
        <v>86</v>
      </c>
      <c r="E3" s="8" t="s">
        <v>132</v>
      </c>
      <c r="F3" s="8" t="s">
        <v>133</v>
      </c>
      <c r="G3" s="8" t="s">
        <v>43</v>
      </c>
      <c r="H3" s="8" t="s">
        <v>134</v>
      </c>
    </row>
    <row r="4" customFormat="false" ht="15" hidden="false" customHeight="false" outlineLevel="0" collapsed="false">
      <c r="B4" s="13" t="s">
        <v>135</v>
      </c>
      <c r="C4" s="8" t="s">
        <v>75</v>
      </c>
      <c r="D4" s="8" t="s">
        <v>76</v>
      </c>
      <c r="E4" s="8" t="s">
        <v>136</v>
      </c>
      <c r="F4" s="8" t="s">
        <v>137</v>
      </c>
      <c r="G4" s="8" t="s">
        <v>43</v>
      </c>
      <c r="H4" s="8" t="s">
        <v>134</v>
      </c>
    </row>
    <row r="5" customFormat="false" ht="15" hidden="false" customHeight="false" outlineLevel="0" collapsed="false">
      <c r="B5" s="13" t="s">
        <v>138</v>
      </c>
      <c r="C5" s="8" t="s">
        <v>59</v>
      </c>
      <c r="D5" s="8" t="s">
        <v>60</v>
      </c>
      <c r="E5" s="8" t="s">
        <v>132</v>
      </c>
      <c r="F5" s="8" t="s">
        <v>139</v>
      </c>
      <c r="G5" s="8" t="s">
        <v>51</v>
      </c>
      <c r="H5" s="8" t="s">
        <v>134</v>
      </c>
    </row>
    <row r="6" customFormat="false" ht="15" hidden="false" customHeight="false" outlineLevel="0" collapsed="false">
      <c r="B6" s="13" t="s">
        <v>140</v>
      </c>
      <c r="C6" s="8" t="s">
        <v>55</v>
      </c>
      <c r="D6" s="8" t="s">
        <v>56</v>
      </c>
      <c r="E6" s="8" t="s">
        <v>136</v>
      </c>
      <c r="F6" s="8" t="s">
        <v>141</v>
      </c>
      <c r="G6" s="8" t="s">
        <v>51</v>
      </c>
      <c r="H6" s="8" t="s">
        <v>134</v>
      </c>
    </row>
    <row r="7" customFormat="false" ht="15" hidden="false" customHeight="false" outlineLevel="0" collapsed="false">
      <c r="B7" s="13" t="s">
        <v>142</v>
      </c>
      <c r="C7" s="8" t="s">
        <v>59</v>
      </c>
      <c r="D7" s="8" t="s">
        <v>60</v>
      </c>
      <c r="E7" s="8" t="s">
        <v>136</v>
      </c>
      <c r="F7" s="8" t="s">
        <v>141</v>
      </c>
      <c r="G7" s="8" t="s">
        <v>54</v>
      </c>
      <c r="H7" s="8" t="s">
        <v>143</v>
      </c>
    </row>
    <row r="8" customFormat="false" ht="15" hidden="false" customHeight="false" outlineLevel="0" collapsed="false">
      <c r="B8" s="13" t="s">
        <v>144</v>
      </c>
      <c r="C8" s="8" t="s">
        <v>52</v>
      </c>
      <c r="D8" s="8" t="s">
        <v>53</v>
      </c>
      <c r="E8" s="8" t="s">
        <v>136</v>
      </c>
      <c r="F8" s="8" t="s">
        <v>141</v>
      </c>
      <c r="G8" s="8" t="s">
        <v>43</v>
      </c>
      <c r="H8" s="8" t="s">
        <v>134</v>
      </c>
    </row>
    <row r="9" customFormat="false" ht="15" hidden="false" customHeight="false" outlineLevel="0" collapsed="false">
      <c r="B9" s="13" t="s">
        <v>145</v>
      </c>
      <c r="C9" s="8" t="s">
        <v>49</v>
      </c>
      <c r="D9" s="8" t="s">
        <v>50</v>
      </c>
      <c r="E9" s="8" t="s">
        <v>146</v>
      </c>
      <c r="F9" s="8" t="s">
        <v>133</v>
      </c>
      <c r="G9" s="8" t="s">
        <v>71</v>
      </c>
      <c r="H9" s="8" t="s">
        <v>134</v>
      </c>
    </row>
    <row r="10" customFormat="false" ht="15" hidden="false" customHeight="false" outlineLevel="0" collapsed="false">
      <c r="B10" s="13" t="s">
        <v>147</v>
      </c>
      <c r="C10" s="8" t="s">
        <v>111</v>
      </c>
      <c r="D10" s="8" t="s">
        <v>112</v>
      </c>
      <c r="E10" s="8" t="s">
        <v>148</v>
      </c>
      <c r="F10" s="8" t="s">
        <v>137</v>
      </c>
      <c r="G10" s="8" t="s">
        <v>43</v>
      </c>
      <c r="H10" s="8" t="s">
        <v>134</v>
      </c>
    </row>
    <row r="11" customFormat="false" ht="15" hidden="false" customHeight="false" outlineLevel="0" collapsed="false">
      <c r="B11" s="13" t="s">
        <v>149</v>
      </c>
      <c r="C11" s="8" t="s">
        <v>75</v>
      </c>
      <c r="D11" s="8" t="s">
        <v>76</v>
      </c>
      <c r="E11" s="8" t="s">
        <v>136</v>
      </c>
      <c r="F11" s="8" t="s">
        <v>150</v>
      </c>
      <c r="G11" s="8" t="s">
        <v>38</v>
      </c>
      <c r="H11" s="8" t="s">
        <v>134</v>
      </c>
    </row>
    <row r="12" customFormat="false" ht="15" hidden="false" customHeight="false" outlineLevel="0" collapsed="false">
      <c r="B12" s="13" t="s">
        <v>151</v>
      </c>
      <c r="C12" s="8" t="s">
        <v>111</v>
      </c>
      <c r="D12" s="8" t="s">
        <v>112</v>
      </c>
      <c r="E12" s="8" t="s">
        <v>148</v>
      </c>
      <c r="F12" s="8" t="s">
        <v>141</v>
      </c>
      <c r="G12" s="8" t="s">
        <v>51</v>
      </c>
      <c r="H12" s="8" t="s">
        <v>134</v>
      </c>
    </row>
    <row r="13" customFormat="false" ht="15" hidden="false" customHeight="false" outlineLevel="0" collapsed="false">
      <c r="B13" s="13" t="s">
        <v>152</v>
      </c>
      <c r="C13" s="8" t="s">
        <v>117</v>
      </c>
      <c r="D13" s="8" t="s">
        <v>118</v>
      </c>
      <c r="E13" s="8" t="s">
        <v>153</v>
      </c>
      <c r="F13" s="8" t="s">
        <v>150</v>
      </c>
      <c r="G13" s="8" t="s">
        <v>71</v>
      </c>
      <c r="H13" s="8" t="s">
        <v>134</v>
      </c>
    </row>
    <row r="14" customFormat="false" ht="15" hidden="false" customHeight="false" outlineLevel="0" collapsed="false">
      <c r="B14" s="13" t="s">
        <v>154</v>
      </c>
      <c r="C14" s="8" t="s">
        <v>95</v>
      </c>
      <c r="D14" s="8" t="s">
        <v>96</v>
      </c>
      <c r="E14" s="8" t="s">
        <v>148</v>
      </c>
      <c r="F14" s="8" t="s">
        <v>133</v>
      </c>
      <c r="G14" s="8" t="s">
        <v>54</v>
      </c>
      <c r="H14" s="8" t="s">
        <v>134</v>
      </c>
    </row>
    <row r="15" customFormat="false" ht="15" hidden="false" customHeight="false" outlineLevel="0" collapsed="false">
      <c r="B15" s="13" t="s">
        <v>155</v>
      </c>
      <c r="C15" s="8" t="s">
        <v>36</v>
      </c>
      <c r="D15" s="8" t="s">
        <v>37</v>
      </c>
      <c r="E15" s="8" t="s">
        <v>132</v>
      </c>
      <c r="F15" s="8" t="s">
        <v>139</v>
      </c>
      <c r="G15" s="8" t="s">
        <v>38</v>
      </c>
      <c r="H15" s="8" t="s">
        <v>134</v>
      </c>
    </row>
    <row r="16" customFormat="false" ht="15" hidden="false" customHeight="false" outlineLevel="0" collapsed="false">
      <c r="B16" s="13" t="s">
        <v>156</v>
      </c>
      <c r="C16" s="8" t="s">
        <v>89</v>
      </c>
      <c r="D16" s="8" t="s">
        <v>90</v>
      </c>
      <c r="E16" s="8" t="s">
        <v>146</v>
      </c>
      <c r="F16" s="8" t="s">
        <v>150</v>
      </c>
      <c r="G16" s="8" t="s">
        <v>51</v>
      </c>
      <c r="H16" s="8" t="s">
        <v>134</v>
      </c>
    </row>
    <row r="17" customFormat="false" ht="15" hidden="false" customHeight="false" outlineLevel="0" collapsed="false">
      <c r="B17" s="13" t="s">
        <v>157</v>
      </c>
      <c r="C17" s="8" t="s">
        <v>74</v>
      </c>
      <c r="D17" s="8" t="s">
        <v>62</v>
      </c>
      <c r="E17" s="8" t="s">
        <v>136</v>
      </c>
      <c r="F17" s="8" t="s">
        <v>150</v>
      </c>
      <c r="G17" s="8" t="s">
        <v>51</v>
      </c>
      <c r="H17" s="8" t="s">
        <v>134</v>
      </c>
    </row>
    <row r="18" customFormat="false" ht="15" hidden="false" customHeight="false" outlineLevel="0" collapsed="false">
      <c r="B18" s="13" t="s">
        <v>158</v>
      </c>
      <c r="C18" s="8" t="s">
        <v>103</v>
      </c>
      <c r="D18" s="8" t="s">
        <v>104</v>
      </c>
      <c r="E18" s="8" t="s">
        <v>136</v>
      </c>
      <c r="F18" s="8" t="s">
        <v>139</v>
      </c>
      <c r="G18" s="8" t="s">
        <v>54</v>
      </c>
      <c r="H18" s="8" t="s">
        <v>143</v>
      </c>
    </row>
    <row r="19" customFormat="false" ht="15" hidden="false" customHeight="false" outlineLevel="0" collapsed="false">
      <c r="B19" s="13" t="s">
        <v>158</v>
      </c>
      <c r="C19" s="8" t="s">
        <v>117</v>
      </c>
      <c r="D19" s="8" t="s">
        <v>118</v>
      </c>
      <c r="E19" s="8" t="s">
        <v>132</v>
      </c>
      <c r="F19" s="8" t="s">
        <v>159</v>
      </c>
      <c r="G19" s="8" t="s">
        <v>51</v>
      </c>
      <c r="H19" s="8" t="s">
        <v>134</v>
      </c>
    </row>
    <row r="20" customFormat="false" ht="15" hidden="false" customHeight="false" outlineLevel="0" collapsed="false">
      <c r="B20" s="13" t="s">
        <v>160</v>
      </c>
      <c r="C20" s="8" t="s">
        <v>41</v>
      </c>
      <c r="D20" s="8" t="s">
        <v>42</v>
      </c>
      <c r="E20" s="8" t="s">
        <v>132</v>
      </c>
      <c r="F20" s="8" t="s">
        <v>133</v>
      </c>
      <c r="G20" s="8" t="s">
        <v>54</v>
      </c>
      <c r="H20" s="8" t="s">
        <v>134</v>
      </c>
    </row>
    <row r="21" customFormat="false" ht="15" hidden="false" customHeight="false" outlineLevel="0" collapsed="false">
      <c r="B21" s="13" t="s">
        <v>161</v>
      </c>
      <c r="C21" s="8" t="s">
        <v>101</v>
      </c>
      <c r="D21" s="8" t="s">
        <v>102</v>
      </c>
      <c r="E21" s="8" t="s">
        <v>132</v>
      </c>
      <c r="F21" s="8" t="s">
        <v>159</v>
      </c>
      <c r="G21" s="8" t="s">
        <v>54</v>
      </c>
      <c r="H21" s="8" t="s">
        <v>134</v>
      </c>
    </row>
    <row r="22" customFormat="false" ht="15" hidden="false" customHeight="false" outlineLevel="0" collapsed="false">
      <c r="B22" s="13" t="s">
        <v>162</v>
      </c>
      <c r="C22" s="8" t="s">
        <v>113</v>
      </c>
      <c r="D22" s="8" t="s">
        <v>114</v>
      </c>
      <c r="E22" s="8" t="s">
        <v>132</v>
      </c>
      <c r="F22" s="8" t="s">
        <v>141</v>
      </c>
      <c r="G22" s="8" t="s">
        <v>54</v>
      </c>
      <c r="H22" s="8" t="s">
        <v>143</v>
      </c>
    </row>
    <row r="23" customFormat="false" ht="15" hidden="false" customHeight="false" outlineLevel="0" collapsed="false">
      <c r="B23" s="13" t="s">
        <v>163</v>
      </c>
      <c r="C23" s="8" t="s">
        <v>99</v>
      </c>
      <c r="D23" s="8" t="s">
        <v>100</v>
      </c>
      <c r="E23" s="8" t="s">
        <v>132</v>
      </c>
      <c r="F23" s="8" t="s">
        <v>139</v>
      </c>
      <c r="G23" s="8" t="s">
        <v>51</v>
      </c>
      <c r="H23" s="8" t="s">
        <v>143</v>
      </c>
    </row>
    <row r="24" customFormat="false" ht="15" hidden="false" customHeight="false" outlineLevel="0" collapsed="false">
      <c r="B24" s="13" t="s">
        <v>164</v>
      </c>
      <c r="C24" s="8" t="s">
        <v>41</v>
      </c>
      <c r="D24" s="8" t="s">
        <v>42</v>
      </c>
      <c r="E24" s="8" t="s">
        <v>146</v>
      </c>
      <c r="F24" s="8" t="s">
        <v>159</v>
      </c>
      <c r="G24" s="8" t="s">
        <v>71</v>
      </c>
      <c r="H24" s="8" t="s">
        <v>143</v>
      </c>
    </row>
    <row r="25" customFormat="false" ht="15" hidden="false" customHeight="false" outlineLevel="0" collapsed="false">
      <c r="B25" s="13" t="s">
        <v>165</v>
      </c>
      <c r="C25" s="8" t="s">
        <v>103</v>
      </c>
      <c r="D25" s="8" t="s">
        <v>104</v>
      </c>
      <c r="E25" s="8" t="s">
        <v>153</v>
      </c>
      <c r="F25" s="8" t="s">
        <v>141</v>
      </c>
      <c r="G25" s="8" t="s">
        <v>51</v>
      </c>
      <c r="H25" s="8" t="s">
        <v>134</v>
      </c>
    </row>
    <row r="26" customFormat="false" ht="15" hidden="false" customHeight="false" outlineLevel="0" collapsed="false">
      <c r="B26" s="13" t="s">
        <v>166</v>
      </c>
      <c r="C26" s="8" t="s">
        <v>123</v>
      </c>
      <c r="D26" s="8" t="s">
        <v>124</v>
      </c>
      <c r="E26" s="8" t="s">
        <v>132</v>
      </c>
      <c r="F26" s="8" t="s">
        <v>133</v>
      </c>
      <c r="G26" s="8" t="s">
        <v>51</v>
      </c>
      <c r="H26" s="8" t="s">
        <v>134</v>
      </c>
    </row>
    <row r="27" customFormat="false" ht="15" hidden="false" customHeight="false" outlineLevel="0" collapsed="false">
      <c r="B27" s="13" t="s">
        <v>167</v>
      </c>
      <c r="C27" s="8" t="s">
        <v>121</v>
      </c>
      <c r="D27" s="8" t="s">
        <v>122</v>
      </c>
      <c r="E27" s="8" t="s">
        <v>132</v>
      </c>
      <c r="F27" s="8" t="s">
        <v>137</v>
      </c>
      <c r="G27" s="8" t="s">
        <v>54</v>
      </c>
      <c r="H27" s="8" t="s">
        <v>143</v>
      </c>
    </row>
    <row r="28" customFormat="false" ht="15" hidden="false" customHeight="false" outlineLevel="0" collapsed="false">
      <c r="B28" s="13" t="s">
        <v>167</v>
      </c>
      <c r="C28" s="8" t="s">
        <v>93</v>
      </c>
      <c r="D28" s="8" t="s">
        <v>94</v>
      </c>
      <c r="E28" s="8" t="s">
        <v>148</v>
      </c>
      <c r="F28" s="8" t="s">
        <v>137</v>
      </c>
      <c r="G28" s="8" t="s">
        <v>71</v>
      </c>
      <c r="H28" s="8" t="s">
        <v>143</v>
      </c>
    </row>
    <row r="29" customFormat="false" ht="15" hidden="false" customHeight="false" outlineLevel="0" collapsed="false">
      <c r="B29" s="13" t="s">
        <v>168</v>
      </c>
      <c r="C29" s="8" t="s">
        <v>74</v>
      </c>
      <c r="D29" s="8" t="s">
        <v>62</v>
      </c>
      <c r="E29" s="8" t="s">
        <v>153</v>
      </c>
      <c r="F29" s="8" t="s">
        <v>137</v>
      </c>
      <c r="G29" s="8" t="s">
        <v>43</v>
      </c>
      <c r="H29" s="8" t="s">
        <v>143</v>
      </c>
    </row>
    <row r="30" customFormat="false" ht="15" hidden="false" customHeight="false" outlineLevel="0" collapsed="false">
      <c r="B30" s="13" t="s">
        <v>169</v>
      </c>
      <c r="C30" s="8" t="s">
        <v>95</v>
      </c>
      <c r="D30" s="8" t="s">
        <v>96</v>
      </c>
      <c r="E30" s="8" t="s">
        <v>153</v>
      </c>
      <c r="F30" s="8" t="s">
        <v>141</v>
      </c>
      <c r="G30" s="8" t="s">
        <v>43</v>
      </c>
      <c r="H30" s="8" t="s">
        <v>134</v>
      </c>
    </row>
    <row r="31" customFormat="false" ht="15" hidden="false" customHeight="false" outlineLevel="0" collapsed="false">
      <c r="B31" s="13" t="s">
        <v>170</v>
      </c>
      <c r="C31" s="8" t="s">
        <v>47</v>
      </c>
      <c r="D31" s="8" t="s">
        <v>48</v>
      </c>
      <c r="E31" s="8" t="s">
        <v>153</v>
      </c>
      <c r="F31" s="8" t="s">
        <v>150</v>
      </c>
      <c r="G31" s="8" t="s">
        <v>51</v>
      </c>
      <c r="H31" s="8" t="s">
        <v>134</v>
      </c>
    </row>
    <row r="32" customFormat="false" ht="15" hidden="false" customHeight="false" outlineLevel="0" collapsed="false">
      <c r="B32" s="13" t="s">
        <v>171</v>
      </c>
      <c r="C32" s="8" t="s">
        <v>109</v>
      </c>
      <c r="D32" s="8" t="s">
        <v>110</v>
      </c>
      <c r="E32" s="8" t="s">
        <v>132</v>
      </c>
      <c r="F32" s="8" t="s">
        <v>139</v>
      </c>
      <c r="G32" s="8" t="s">
        <v>51</v>
      </c>
      <c r="H32" s="8" t="s">
        <v>143</v>
      </c>
    </row>
    <row r="33" customFormat="false" ht="15" hidden="false" customHeight="false" outlineLevel="0" collapsed="false">
      <c r="B33" s="13" t="s">
        <v>172</v>
      </c>
      <c r="C33" s="8" t="s">
        <v>117</v>
      </c>
      <c r="D33" s="8" t="s">
        <v>118</v>
      </c>
      <c r="E33" s="8" t="s">
        <v>146</v>
      </c>
      <c r="F33" s="8" t="s">
        <v>159</v>
      </c>
      <c r="G33" s="8" t="s">
        <v>54</v>
      </c>
      <c r="H33" s="8" t="s">
        <v>134</v>
      </c>
    </row>
    <row r="34" customFormat="false" ht="15" hidden="false" customHeight="false" outlineLevel="0" collapsed="false">
      <c r="B34" s="13" t="s">
        <v>173</v>
      </c>
      <c r="C34" s="8" t="s">
        <v>89</v>
      </c>
      <c r="D34" s="8" t="s">
        <v>90</v>
      </c>
      <c r="E34" s="8" t="s">
        <v>136</v>
      </c>
      <c r="F34" s="8" t="s">
        <v>133</v>
      </c>
      <c r="G34" s="8" t="s">
        <v>54</v>
      </c>
      <c r="H34" s="8" t="s">
        <v>134</v>
      </c>
    </row>
    <row r="35" customFormat="false" ht="15" hidden="false" customHeight="false" outlineLevel="0" collapsed="false">
      <c r="B35" s="13" t="s">
        <v>173</v>
      </c>
      <c r="C35" s="8" t="s">
        <v>75</v>
      </c>
      <c r="D35" s="8" t="s">
        <v>76</v>
      </c>
      <c r="E35" s="8" t="s">
        <v>153</v>
      </c>
      <c r="F35" s="8" t="s">
        <v>137</v>
      </c>
      <c r="G35" s="8" t="s">
        <v>38</v>
      </c>
      <c r="H35" s="8" t="s">
        <v>134</v>
      </c>
    </row>
    <row r="36" customFormat="false" ht="15" hidden="false" customHeight="false" outlineLevel="0" collapsed="false">
      <c r="B36" s="13" t="s">
        <v>174</v>
      </c>
      <c r="C36" s="8" t="s">
        <v>69</v>
      </c>
      <c r="D36" s="8" t="s">
        <v>70</v>
      </c>
      <c r="E36" s="8" t="s">
        <v>146</v>
      </c>
      <c r="F36" s="8" t="s">
        <v>141</v>
      </c>
      <c r="G36" s="8" t="s">
        <v>71</v>
      </c>
      <c r="H36" s="8" t="s">
        <v>134</v>
      </c>
    </row>
    <row r="37" customFormat="false" ht="15" hidden="false" customHeight="false" outlineLevel="0" collapsed="false">
      <c r="B37" s="13" t="s">
        <v>175</v>
      </c>
      <c r="C37" s="8" t="s">
        <v>99</v>
      </c>
      <c r="D37" s="8" t="s">
        <v>100</v>
      </c>
      <c r="E37" s="8" t="s">
        <v>132</v>
      </c>
      <c r="F37" s="8" t="s">
        <v>137</v>
      </c>
      <c r="G37" s="8" t="s">
        <v>43</v>
      </c>
      <c r="H37" s="8" t="s">
        <v>134</v>
      </c>
    </row>
    <row r="38" customFormat="false" ht="15" hidden="false" customHeight="false" outlineLevel="0" collapsed="false">
      <c r="B38" s="13" t="s">
        <v>175</v>
      </c>
      <c r="C38" s="8" t="s">
        <v>89</v>
      </c>
      <c r="D38" s="8" t="s">
        <v>90</v>
      </c>
      <c r="E38" s="8" t="s">
        <v>148</v>
      </c>
      <c r="F38" s="8" t="s">
        <v>137</v>
      </c>
      <c r="G38" s="8" t="s">
        <v>71</v>
      </c>
      <c r="H38" s="8" t="s">
        <v>143</v>
      </c>
    </row>
    <row r="39" customFormat="false" ht="15" hidden="false" customHeight="false" outlineLevel="0" collapsed="false">
      <c r="B39" s="13" t="s">
        <v>176</v>
      </c>
      <c r="C39" s="8" t="s">
        <v>45</v>
      </c>
      <c r="D39" s="8" t="s">
        <v>46</v>
      </c>
      <c r="E39" s="8" t="s">
        <v>148</v>
      </c>
      <c r="F39" s="8" t="s">
        <v>139</v>
      </c>
      <c r="G39" s="8" t="s">
        <v>71</v>
      </c>
      <c r="H39" s="8" t="s">
        <v>143</v>
      </c>
    </row>
    <row r="40" customFormat="false" ht="15" hidden="false" customHeight="false" outlineLevel="0" collapsed="false">
      <c r="B40" s="13" t="s">
        <v>177</v>
      </c>
      <c r="C40" s="8" t="s">
        <v>65</v>
      </c>
      <c r="D40" s="8" t="s">
        <v>66</v>
      </c>
      <c r="E40" s="8" t="s">
        <v>132</v>
      </c>
      <c r="F40" s="8" t="s">
        <v>141</v>
      </c>
      <c r="G40" s="8" t="s">
        <v>38</v>
      </c>
      <c r="H40" s="8" t="s">
        <v>134</v>
      </c>
    </row>
    <row r="41" customFormat="false" ht="15" hidden="false" customHeight="false" outlineLevel="0" collapsed="false">
      <c r="B41" s="13" t="s">
        <v>178</v>
      </c>
      <c r="C41" s="8" t="s">
        <v>101</v>
      </c>
      <c r="D41" s="8" t="s">
        <v>102</v>
      </c>
      <c r="E41" s="8" t="s">
        <v>146</v>
      </c>
      <c r="F41" s="8" t="s">
        <v>137</v>
      </c>
      <c r="G41" s="8" t="s">
        <v>54</v>
      </c>
      <c r="H41" s="8" t="s">
        <v>134</v>
      </c>
    </row>
    <row r="42" customFormat="false" ht="15" hidden="false" customHeight="false" outlineLevel="0" collapsed="false">
      <c r="B42" s="13" t="s">
        <v>179</v>
      </c>
      <c r="C42" s="8" t="s">
        <v>105</v>
      </c>
      <c r="D42" s="8" t="s">
        <v>106</v>
      </c>
      <c r="E42" s="8" t="s">
        <v>136</v>
      </c>
      <c r="F42" s="8" t="s">
        <v>159</v>
      </c>
      <c r="G42" s="8" t="s">
        <v>54</v>
      </c>
      <c r="H42" s="8" t="s">
        <v>134</v>
      </c>
    </row>
    <row r="43" customFormat="false" ht="15" hidden="false" customHeight="false" outlineLevel="0" collapsed="false">
      <c r="B43" s="13" t="s">
        <v>180</v>
      </c>
      <c r="C43" s="8" t="s">
        <v>85</v>
      </c>
      <c r="D43" s="8" t="s">
        <v>86</v>
      </c>
      <c r="E43" s="8" t="s">
        <v>153</v>
      </c>
      <c r="F43" s="8" t="s">
        <v>139</v>
      </c>
      <c r="G43" s="8" t="s">
        <v>38</v>
      </c>
      <c r="H43" s="8" t="s">
        <v>134</v>
      </c>
    </row>
    <row r="44" customFormat="false" ht="15" hidden="false" customHeight="false" outlineLevel="0" collapsed="false">
      <c r="B44" s="13" t="s">
        <v>181</v>
      </c>
      <c r="C44" s="8" t="s">
        <v>115</v>
      </c>
      <c r="D44" s="8" t="s">
        <v>116</v>
      </c>
      <c r="E44" s="8" t="s">
        <v>148</v>
      </c>
      <c r="F44" s="8" t="s">
        <v>137</v>
      </c>
      <c r="G44" s="8" t="s">
        <v>54</v>
      </c>
      <c r="H44" s="8" t="s">
        <v>134</v>
      </c>
    </row>
    <row r="45" customFormat="false" ht="15" hidden="false" customHeight="false" outlineLevel="0" collapsed="false">
      <c r="B45" s="13" t="s">
        <v>182</v>
      </c>
      <c r="C45" s="8" t="s">
        <v>95</v>
      </c>
      <c r="D45" s="8" t="s">
        <v>96</v>
      </c>
      <c r="E45" s="8" t="s">
        <v>136</v>
      </c>
      <c r="F45" s="8" t="s">
        <v>150</v>
      </c>
      <c r="G45" s="8" t="s">
        <v>54</v>
      </c>
      <c r="H45" s="8" t="s">
        <v>134</v>
      </c>
    </row>
    <row r="46" customFormat="false" ht="15" hidden="false" customHeight="false" outlineLevel="0" collapsed="false">
      <c r="B46" s="13" t="s">
        <v>182</v>
      </c>
      <c r="C46" s="8" t="s">
        <v>41</v>
      </c>
      <c r="D46" s="8" t="s">
        <v>42</v>
      </c>
      <c r="E46" s="8" t="s">
        <v>148</v>
      </c>
      <c r="F46" s="8" t="s">
        <v>159</v>
      </c>
      <c r="G46" s="8" t="s">
        <v>71</v>
      </c>
      <c r="H46" s="8" t="s">
        <v>143</v>
      </c>
    </row>
    <row r="47" customFormat="false" ht="15" hidden="false" customHeight="false" outlineLevel="0" collapsed="false">
      <c r="B47" s="13" t="s">
        <v>183</v>
      </c>
      <c r="C47" s="8" t="s">
        <v>99</v>
      </c>
      <c r="D47" s="8" t="s">
        <v>100</v>
      </c>
      <c r="E47" s="8" t="s">
        <v>153</v>
      </c>
      <c r="F47" s="8" t="s">
        <v>159</v>
      </c>
      <c r="G47" s="8" t="s">
        <v>71</v>
      </c>
      <c r="H47" s="8" t="s">
        <v>134</v>
      </c>
    </row>
    <row r="48" customFormat="false" ht="15" hidden="false" customHeight="false" outlineLevel="0" collapsed="false">
      <c r="B48" s="13" t="s">
        <v>184</v>
      </c>
      <c r="C48" s="8" t="s">
        <v>97</v>
      </c>
      <c r="D48" s="8" t="s">
        <v>98</v>
      </c>
      <c r="E48" s="8" t="s">
        <v>136</v>
      </c>
      <c r="F48" s="8" t="s">
        <v>141</v>
      </c>
      <c r="G48" s="8" t="s">
        <v>71</v>
      </c>
      <c r="H48" s="8" t="s">
        <v>134</v>
      </c>
    </row>
    <row r="49" customFormat="false" ht="15" hidden="false" customHeight="false" outlineLevel="0" collapsed="false">
      <c r="B49" s="13" t="s">
        <v>185</v>
      </c>
      <c r="C49" s="8" t="s">
        <v>55</v>
      </c>
      <c r="D49" s="8" t="s">
        <v>56</v>
      </c>
      <c r="E49" s="8" t="s">
        <v>132</v>
      </c>
      <c r="F49" s="8" t="s">
        <v>133</v>
      </c>
      <c r="G49" s="8" t="s">
        <v>54</v>
      </c>
      <c r="H49" s="8" t="s">
        <v>143</v>
      </c>
    </row>
    <row r="50" customFormat="false" ht="15" hidden="false" customHeight="false" outlineLevel="0" collapsed="false">
      <c r="B50" s="13" t="s">
        <v>186</v>
      </c>
      <c r="C50" s="8" t="s">
        <v>93</v>
      </c>
      <c r="D50" s="8" t="s">
        <v>94</v>
      </c>
      <c r="E50" s="8" t="s">
        <v>146</v>
      </c>
      <c r="F50" s="8" t="s">
        <v>159</v>
      </c>
      <c r="G50" s="8" t="s">
        <v>71</v>
      </c>
      <c r="H50" s="8" t="s">
        <v>134</v>
      </c>
    </row>
    <row r="51" customFormat="false" ht="15" hidden="false" customHeight="false" outlineLevel="0" collapsed="false">
      <c r="B51" s="13" t="s">
        <v>187</v>
      </c>
      <c r="C51" s="8" t="s">
        <v>36</v>
      </c>
      <c r="D51" s="8" t="s">
        <v>37</v>
      </c>
      <c r="E51" s="8" t="s">
        <v>132</v>
      </c>
      <c r="F51" s="8" t="s">
        <v>139</v>
      </c>
      <c r="G51" s="8" t="s">
        <v>54</v>
      </c>
      <c r="H51" s="8" t="s">
        <v>134</v>
      </c>
    </row>
    <row r="52" customFormat="false" ht="15" hidden="false" customHeight="false" outlineLevel="0" collapsed="false">
      <c r="B52" s="13" t="s">
        <v>188</v>
      </c>
      <c r="C52" s="8" t="s">
        <v>95</v>
      </c>
      <c r="D52" s="8" t="s">
        <v>96</v>
      </c>
      <c r="E52" s="8" t="s">
        <v>136</v>
      </c>
      <c r="F52" s="8" t="s">
        <v>139</v>
      </c>
      <c r="G52" s="8" t="s">
        <v>51</v>
      </c>
      <c r="H52" s="8" t="s">
        <v>134</v>
      </c>
    </row>
    <row r="53" customFormat="false" ht="15" hidden="false" customHeight="false" outlineLevel="0" collapsed="false">
      <c r="B53" s="13" t="s">
        <v>189</v>
      </c>
      <c r="C53" s="8" t="s">
        <v>45</v>
      </c>
      <c r="D53" s="8" t="s">
        <v>46</v>
      </c>
      <c r="E53" s="8" t="s">
        <v>148</v>
      </c>
      <c r="F53" s="8" t="s">
        <v>133</v>
      </c>
      <c r="G53" s="8" t="s">
        <v>43</v>
      </c>
      <c r="H53" s="8" t="s">
        <v>134</v>
      </c>
    </row>
    <row r="54" customFormat="false" ht="15" hidden="false" customHeight="false" outlineLevel="0" collapsed="false">
      <c r="B54" s="13" t="s">
        <v>190</v>
      </c>
      <c r="C54" s="8" t="s">
        <v>65</v>
      </c>
      <c r="D54" s="8" t="s">
        <v>66</v>
      </c>
      <c r="E54" s="8" t="s">
        <v>153</v>
      </c>
      <c r="F54" s="8" t="s">
        <v>150</v>
      </c>
      <c r="G54" s="8" t="s">
        <v>38</v>
      </c>
      <c r="H54" s="8" t="s">
        <v>134</v>
      </c>
    </row>
    <row r="55" customFormat="false" ht="15" hidden="false" customHeight="false" outlineLevel="0" collapsed="false">
      <c r="B55" s="13" t="s">
        <v>190</v>
      </c>
      <c r="C55" s="8" t="s">
        <v>80</v>
      </c>
      <c r="D55" s="8" t="s">
        <v>81</v>
      </c>
      <c r="E55" s="8" t="s">
        <v>136</v>
      </c>
      <c r="F55" s="8" t="s">
        <v>159</v>
      </c>
      <c r="G55" s="8" t="s">
        <v>43</v>
      </c>
      <c r="H55" s="8" t="s">
        <v>134</v>
      </c>
    </row>
    <row r="56" customFormat="false" ht="15" hidden="false" customHeight="false" outlineLevel="0" collapsed="false">
      <c r="B56" s="13" t="s">
        <v>191</v>
      </c>
      <c r="C56" s="8" t="s">
        <v>91</v>
      </c>
      <c r="D56" s="8" t="s">
        <v>92</v>
      </c>
      <c r="E56" s="8" t="s">
        <v>136</v>
      </c>
      <c r="F56" s="8" t="s">
        <v>159</v>
      </c>
      <c r="G56" s="8" t="s">
        <v>54</v>
      </c>
      <c r="H56" s="8" t="s">
        <v>134</v>
      </c>
    </row>
    <row r="57" customFormat="false" ht="15" hidden="false" customHeight="false" outlineLevel="0" collapsed="false">
      <c r="B57" s="13" t="s">
        <v>192</v>
      </c>
      <c r="C57" s="8" t="s">
        <v>72</v>
      </c>
      <c r="D57" s="8" t="s">
        <v>73</v>
      </c>
      <c r="E57" s="8" t="s">
        <v>148</v>
      </c>
      <c r="F57" s="8" t="s">
        <v>159</v>
      </c>
      <c r="G57" s="8" t="s">
        <v>43</v>
      </c>
      <c r="H57" s="8" t="s">
        <v>134</v>
      </c>
    </row>
    <row r="58" customFormat="false" ht="15" hidden="false" customHeight="false" outlineLevel="0" collapsed="false">
      <c r="B58" s="13" t="s">
        <v>193</v>
      </c>
      <c r="C58" s="8" t="s">
        <v>113</v>
      </c>
      <c r="D58" s="8" t="s">
        <v>114</v>
      </c>
      <c r="E58" s="8" t="s">
        <v>136</v>
      </c>
      <c r="F58" s="8" t="s">
        <v>141</v>
      </c>
      <c r="G58" s="8" t="s">
        <v>43</v>
      </c>
      <c r="H58" s="8" t="s">
        <v>143</v>
      </c>
    </row>
    <row r="59" customFormat="false" ht="15" hidden="false" customHeight="false" outlineLevel="0" collapsed="false">
      <c r="B59" s="13" t="s">
        <v>194</v>
      </c>
      <c r="C59" s="8" t="s">
        <v>63</v>
      </c>
      <c r="D59" s="8" t="s">
        <v>64</v>
      </c>
      <c r="E59" s="8" t="s">
        <v>153</v>
      </c>
      <c r="F59" s="8" t="s">
        <v>150</v>
      </c>
      <c r="G59" s="8" t="s">
        <v>71</v>
      </c>
      <c r="H59" s="8" t="s">
        <v>134</v>
      </c>
    </row>
    <row r="60" customFormat="false" ht="15" hidden="false" customHeight="false" outlineLevel="0" collapsed="false">
      <c r="B60" s="13" t="s">
        <v>195</v>
      </c>
      <c r="C60" s="8" t="s">
        <v>125</v>
      </c>
      <c r="D60" s="8" t="s">
        <v>126</v>
      </c>
      <c r="E60" s="8" t="s">
        <v>132</v>
      </c>
      <c r="F60" s="8" t="s">
        <v>133</v>
      </c>
      <c r="G60" s="8" t="s">
        <v>51</v>
      </c>
      <c r="H60" s="8" t="s">
        <v>134</v>
      </c>
    </row>
    <row r="61" customFormat="false" ht="15" hidden="false" customHeight="false" outlineLevel="0" collapsed="false">
      <c r="B61" s="13" t="s">
        <v>196</v>
      </c>
      <c r="C61" s="8" t="s">
        <v>69</v>
      </c>
      <c r="D61" s="8" t="s">
        <v>70</v>
      </c>
      <c r="E61" s="8" t="s">
        <v>136</v>
      </c>
      <c r="F61" s="8" t="s">
        <v>133</v>
      </c>
      <c r="G61" s="8" t="s">
        <v>43</v>
      </c>
      <c r="H61" s="8" t="s">
        <v>134</v>
      </c>
    </row>
    <row r="62" customFormat="false" ht="15" hidden="false" customHeight="false" outlineLevel="0" collapsed="false">
      <c r="B62" s="13" t="s">
        <v>197</v>
      </c>
      <c r="C62" s="8" t="s">
        <v>49</v>
      </c>
      <c r="D62" s="8" t="s">
        <v>50</v>
      </c>
      <c r="E62" s="8" t="s">
        <v>153</v>
      </c>
      <c r="F62" s="8" t="s">
        <v>141</v>
      </c>
      <c r="G62" s="8" t="s">
        <v>38</v>
      </c>
      <c r="H62" s="8" t="s">
        <v>134</v>
      </c>
    </row>
    <row r="63" customFormat="false" ht="15" hidden="false" customHeight="false" outlineLevel="0" collapsed="false">
      <c r="B63" s="13" t="s">
        <v>198</v>
      </c>
      <c r="C63" s="8" t="s">
        <v>69</v>
      </c>
      <c r="D63" s="8" t="s">
        <v>70</v>
      </c>
      <c r="E63" s="8" t="s">
        <v>136</v>
      </c>
      <c r="F63" s="8" t="s">
        <v>139</v>
      </c>
      <c r="G63" s="8" t="s">
        <v>54</v>
      </c>
      <c r="H63" s="8" t="s">
        <v>134</v>
      </c>
    </row>
    <row r="64" customFormat="false" ht="15" hidden="false" customHeight="false" outlineLevel="0" collapsed="false">
      <c r="B64" s="13" t="s">
        <v>199</v>
      </c>
      <c r="C64" s="8" t="s">
        <v>75</v>
      </c>
      <c r="D64" s="8" t="s">
        <v>76</v>
      </c>
      <c r="E64" s="8" t="s">
        <v>136</v>
      </c>
      <c r="F64" s="8" t="s">
        <v>139</v>
      </c>
      <c r="G64" s="8" t="s">
        <v>71</v>
      </c>
      <c r="H64" s="8" t="s">
        <v>134</v>
      </c>
    </row>
    <row r="65" customFormat="false" ht="15" hidden="false" customHeight="false" outlineLevel="0" collapsed="false">
      <c r="B65" s="13" t="s">
        <v>200</v>
      </c>
      <c r="C65" s="8" t="s">
        <v>80</v>
      </c>
      <c r="D65" s="8" t="s">
        <v>81</v>
      </c>
      <c r="E65" s="8" t="s">
        <v>148</v>
      </c>
      <c r="F65" s="8" t="s">
        <v>139</v>
      </c>
      <c r="G65" s="8" t="s">
        <v>51</v>
      </c>
      <c r="H65" s="8" t="s">
        <v>143</v>
      </c>
    </row>
    <row r="66" customFormat="false" ht="15" hidden="false" customHeight="false" outlineLevel="0" collapsed="false">
      <c r="B66" s="13" t="s">
        <v>201</v>
      </c>
      <c r="C66" s="8" t="s">
        <v>101</v>
      </c>
      <c r="D66" s="8" t="s">
        <v>102</v>
      </c>
      <c r="E66" s="8" t="s">
        <v>153</v>
      </c>
      <c r="F66" s="8" t="s">
        <v>150</v>
      </c>
      <c r="G66" s="8" t="s">
        <v>71</v>
      </c>
      <c r="H66" s="8" t="s">
        <v>134</v>
      </c>
    </row>
    <row r="67" customFormat="false" ht="15" hidden="false" customHeight="false" outlineLevel="0" collapsed="false">
      <c r="B67" s="13" t="s">
        <v>202</v>
      </c>
      <c r="C67" s="8" t="s">
        <v>99</v>
      </c>
      <c r="D67" s="8" t="s">
        <v>100</v>
      </c>
      <c r="E67" s="8" t="s">
        <v>148</v>
      </c>
      <c r="F67" s="8" t="s">
        <v>159</v>
      </c>
      <c r="G67" s="8" t="s">
        <v>43</v>
      </c>
      <c r="H67" s="8" t="s">
        <v>143</v>
      </c>
    </row>
    <row r="68" customFormat="false" ht="15" hidden="false" customHeight="false" outlineLevel="0" collapsed="false">
      <c r="B68" s="13" t="s">
        <v>203</v>
      </c>
      <c r="C68" s="8" t="s">
        <v>117</v>
      </c>
      <c r="D68" s="8" t="s">
        <v>118</v>
      </c>
      <c r="E68" s="8" t="s">
        <v>153</v>
      </c>
      <c r="F68" s="8" t="s">
        <v>133</v>
      </c>
      <c r="G68" s="8" t="s">
        <v>51</v>
      </c>
      <c r="H68" s="8" t="s">
        <v>134</v>
      </c>
    </row>
    <row r="69" customFormat="false" ht="15" hidden="false" customHeight="false" outlineLevel="0" collapsed="false">
      <c r="B69" s="13" t="s">
        <v>204</v>
      </c>
      <c r="C69" s="8" t="s">
        <v>55</v>
      </c>
      <c r="D69" s="8" t="s">
        <v>56</v>
      </c>
      <c r="E69" s="8" t="s">
        <v>132</v>
      </c>
      <c r="F69" s="8" t="s">
        <v>150</v>
      </c>
      <c r="G69" s="8" t="s">
        <v>54</v>
      </c>
      <c r="H69" s="8" t="s">
        <v>134</v>
      </c>
    </row>
    <row r="70" customFormat="false" ht="15" hidden="false" customHeight="false" outlineLevel="0" collapsed="false">
      <c r="B70" s="13" t="s">
        <v>205</v>
      </c>
      <c r="C70" s="8" t="s">
        <v>59</v>
      </c>
      <c r="D70" s="8" t="s">
        <v>60</v>
      </c>
      <c r="E70" s="8" t="s">
        <v>136</v>
      </c>
      <c r="F70" s="8" t="s">
        <v>139</v>
      </c>
      <c r="G70" s="8" t="s">
        <v>43</v>
      </c>
      <c r="H70" s="8" t="s">
        <v>134</v>
      </c>
    </row>
    <row r="71" customFormat="false" ht="15" hidden="false" customHeight="false" outlineLevel="0" collapsed="false">
      <c r="B71" s="13" t="s">
        <v>206</v>
      </c>
      <c r="C71" s="8" t="s">
        <v>45</v>
      </c>
      <c r="D71" s="8" t="s">
        <v>46</v>
      </c>
      <c r="E71" s="8" t="s">
        <v>153</v>
      </c>
      <c r="F71" s="8" t="s">
        <v>150</v>
      </c>
      <c r="G71" s="8" t="s">
        <v>43</v>
      </c>
      <c r="H71" s="8" t="s">
        <v>134</v>
      </c>
    </row>
    <row r="72" customFormat="false" ht="15" hidden="false" customHeight="false" outlineLevel="0" collapsed="false">
      <c r="B72" s="13" t="s">
        <v>207</v>
      </c>
      <c r="C72" s="8" t="s">
        <v>125</v>
      </c>
      <c r="D72" s="8" t="s">
        <v>126</v>
      </c>
      <c r="E72" s="8" t="s">
        <v>153</v>
      </c>
      <c r="F72" s="8" t="s">
        <v>139</v>
      </c>
      <c r="G72" s="8" t="s">
        <v>71</v>
      </c>
      <c r="H72" s="8" t="s">
        <v>143</v>
      </c>
    </row>
  </sheetData>
  <autoFilter ref="B2:H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2"/>
  </cols>
  <sheetData>
    <row r="2" customFormat="false" ht="15" hidden="false" customHeight="false" outlineLevel="0" collapsed="false">
      <c r="B2" s="12" t="s">
        <v>208</v>
      </c>
      <c r="C2" s="12" t="s">
        <v>27</v>
      </c>
      <c r="D2" s="12" t="s">
        <v>28</v>
      </c>
      <c r="E2" s="12" t="s">
        <v>209</v>
      </c>
      <c r="F2" s="12" t="s">
        <v>210</v>
      </c>
      <c r="G2" s="12" t="s">
        <v>211</v>
      </c>
      <c r="H2" s="12" t="s">
        <v>35</v>
      </c>
      <c r="I2" s="12" t="s">
        <v>212</v>
      </c>
      <c r="J2" s="12" t="s">
        <v>213</v>
      </c>
      <c r="K2" s="12" t="s">
        <v>214</v>
      </c>
      <c r="L2" s="12" t="s">
        <v>215</v>
      </c>
    </row>
    <row r="3" customFormat="false" ht="15" hidden="false" customHeight="false" outlineLevel="0" collapsed="false">
      <c r="B3" s="8" t="s">
        <v>216</v>
      </c>
      <c r="C3" s="8" t="s">
        <v>117</v>
      </c>
      <c r="D3" s="8" t="s">
        <v>118</v>
      </c>
      <c r="E3" s="13" t="n">
        <v>46221</v>
      </c>
      <c r="F3" s="8" t="s">
        <v>217</v>
      </c>
      <c r="G3" s="8" t="s">
        <v>218</v>
      </c>
      <c r="H3" s="8" t="s">
        <v>17</v>
      </c>
      <c r="I3" s="8" t="s">
        <v>51</v>
      </c>
      <c r="J3" s="14" t="n">
        <f aca="false">DATE(2026,7,21)-E3</f>
        <v>3</v>
      </c>
      <c r="K3" s="15" t="n">
        <v>5</v>
      </c>
      <c r="L3" s="15" t="str">
        <f aca="false">IF(H3="Closed","Closed",IF(J3&gt;K3,"Overdue","On Track"))</f>
        <v>On Track</v>
      </c>
    </row>
    <row r="4" customFormat="false" ht="15" hidden="false" customHeight="false" outlineLevel="0" collapsed="false">
      <c r="B4" s="8" t="s">
        <v>219</v>
      </c>
      <c r="C4" s="8" t="s">
        <v>36</v>
      </c>
      <c r="D4" s="8" t="s">
        <v>37</v>
      </c>
      <c r="E4" s="13" t="n">
        <v>46218</v>
      </c>
      <c r="F4" s="8" t="s">
        <v>220</v>
      </c>
      <c r="G4" s="8" t="s">
        <v>218</v>
      </c>
      <c r="H4" s="8" t="s">
        <v>20</v>
      </c>
      <c r="I4" s="8" t="s">
        <v>54</v>
      </c>
      <c r="J4" s="14" t="n">
        <f aca="false">DATE(2026,7,21)-E4</f>
        <v>6</v>
      </c>
      <c r="K4" s="15" t="n">
        <v>5</v>
      </c>
      <c r="L4" s="15" t="str">
        <f aca="false">IF(H4="Closed","Closed",IF(J4&gt;K4,"Overdue","On Track"))</f>
        <v>Overdue</v>
      </c>
    </row>
    <row r="5" customFormat="false" ht="15" hidden="false" customHeight="false" outlineLevel="0" collapsed="false">
      <c r="B5" s="8" t="s">
        <v>221</v>
      </c>
      <c r="C5" s="8" t="s">
        <v>47</v>
      </c>
      <c r="D5" s="8" t="s">
        <v>48</v>
      </c>
      <c r="E5" s="13" t="n">
        <v>46213</v>
      </c>
      <c r="F5" s="8" t="s">
        <v>222</v>
      </c>
      <c r="G5" s="8" t="s">
        <v>218</v>
      </c>
      <c r="H5" s="8" t="s">
        <v>17</v>
      </c>
      <c r="I5" s="8" t="s">
        <v>38</v>
      </c>
      <c r="J5" s="14" t="n">
        <f aca="false">DATE(2026,7,21)-E5</f>
        <v>11</v>
      </c>
      <c r="K5" s="15" t="n">
        <v>5</v>
      </c>
      <c r="L5" s="15" t="str">
        <f aca="false">IF(H5="Closed","Closed",IF(J5&gt;K5,"Overdue","On Track"))</f>
        <v>Overdue</v>
      </c>
    </row>
    <row r="6" customFormat="false" ht="15" hidden="false" customHeight="false" outlineLevel="0" collapsed="false">
      <c r="B6" s="8" t="s">
        <v>223</v>
      </c>
      <c r="C6" s="8" t="s">
        <v>109</v>
      </c>
      <c r="D6" s="8" t="s">
        <v>110</v>
      </c>
      <c r="E6" s="13" t="n">
        <v>46199</v>
      </c>
      <c r="F6" s="8" t="s">
        <v>224</v>
      </c>
      <c r="G6" s="8" t="s">
        <v>218</v>
      </c>
      <c r="H6" s="8" t="s">
        <v>14</v>
      </c>
      <c r="I6" s="8" t="s">
        <v>71</v>
      </c>
      <c r="J6" s="14" t="n">
        <f aca="false">DATE(2026,7,21)-E6</f>
        <v>25</v>
      </c>
      <c r="K6" s="15" t="n">
        <v>5</v>
      </c>
      <c r="L6" s="15" t="str">
        <f aca="false">IF(H6="Closed","Closed",IF(J6&gt;K6,"Overdue","On Track"))</f>
        <v>Overdue</v>
      </c>
    </row>
    <row r="7" customFormat="false" ht="15" hidden="false" customHeight="false" outlineLevel="0" collapsed="false">
      <c r="B7" s="8" t="s">
        <v>225</v>
      </c>
      <c r="C7" s="8" t="s">
        <v>119</v>
      </c>
      <c r="D7" s="8" t="s">
        <v>120</v>
      </c>
      <c r="E7" s="13" t="n">
        <v>46215</v>
      </c>
      <c r="F7" s="8" t="s">
        <v>226</v>
      </c>
      <c r="G7" s="8" t="s">
        <v>227</v>
      </c>
      <c r="H7" s="8" t="s">
        <v>22</v>
      </c>
      <c r="I7" s="8" t="s">
        <v>38</v>
      </c>
      <c r="J7" s="14" t="n">
        <f aca="false">DATE(2026,7,21)-E7</f>
        <v>9</v>
      </c>
      <c r="K7" s="15" t="n">
        <v>5</v>
      </c>
      <c r="L7" s="15" t="str">
        <f aca="false">IF(H7="Closed","Closed",IF(J7&gt;K7,"Overdue","On Track"))</f>
        <v>Closed</v>
      </c>
    </row>
    <row r="8" customFormat="false" ht="15" hidden="false" customHeight="false" outlineLevel="0" collapsed="false">
      <c r="B8" s="8" t="s">
        <v>228</v>
      </c>
      <c r="C8" s="8" t="s">
        <v>99</v>
      </c>
      <c r="D8" s="8" t="s">
        <v>100</v>
      </c>
      <c r="E8" s="13" t="n">
        <v>46189</v>
      </c>
      <c r="F8" s="8" t="s">
        <v>222</v>
      </c>
      <c r="G8" s="8" t="s">
        <v>218</v>
      </c>
      <c r="H8" s="8" t="s">
        <v>20</v>
      </c>
      <c r="I8" s="8" t="s">
        <v>43</v>
      </c>
      <c r="J8" s="14" t="n">
        <f aca="false">DATE(2026,7,21)-E8</f>
        <v>35</v>
      </c>
      <c r="K8" s="15" t="n">
        <v>5</v>
      </c>
      <c r="L8" s="15" t="str">
        <f aca="false">IF(H8="Closed","Closed",IF(J8&gt;K8,"Overdue","On Track"))</f>
        <v>Overdue</v>
      </c>
    </row>
    <row r="9" customFormat="false" ht="15" hidden="false" customHeight="false" outlineLevel="0" collapsed="false">
      <c r="B9" s="8" t="s">
        <v>229</v>
      </c>
      <c r="C9" s="8" t="s">
        <v>103</v>
      </c>
      <c r="D9" s="8" t="s">
        <v>104</v>
      </c>
      <c r="E9" s="13" t="n">
        <v>46200</v>
      </c>
      <c r="F9" s="8" t="s">
        <v>230</v>
      </c>
      <c r="G9" s="8" t="s">
        <v>231</v>
      </c>
      <c r="H9" s="8" t="s">
        <v>22</v>
      </c>
      <c r="I9" s="8" t="s">
        <v>51</v>
      </c>
      <c r="J9" s="14" t="n">
        <f aca="false">DATE(2026,7,21)-E9</f>
        <v>24</v>
      </c>
      <c r="K9" s="15" t="n">
        <v>5</v>
      </c>
      <c r="L9" s="15" t="str">
        <f aca="false">IF(H9="Closed","Closed",IF(J9&gt;K9,"Overdue","On Track"))</f>
        <v>Closed</v>
      </c>
    </row>
    <row r="10" customFormat="false" ht="15" hidden="false" customHeight="false" outlineLevel="0" collapsed="false">
      <c r="B10" s="8" t="s">
        <v>232</v>
      </c>
      <c r="C10" s="8" t="s">
        <v>119</v>
      </c>
      <c r="D10" s="8" t="s">
        <v>120</v>
      </c>
      <c r="E10" s="13" t="n">
        <v>46205</v>
      </c>
      <c r="F10" s="8" t="s">
        <v>233</v>
      </c>
      <c r="G10" s="8" t="s">
        <v>227</v>
      </c>
      <c r="H10" s="8" t="s">
        <v>20</v>
      </c>
      <c r="I10" s="8" t="s">
        <v>38</v>
      </c>
      <c r="J10" s="14" t="n">
        <f aca="false">DATE(2026,7,21)-E10</f>
        <v>19</v>
      </c>
      <c r="K10" s="15" t="n">
        <v>5</v>
      </c>
      <c r="L10" s="15" t="str">
        <f aca="false">IF(H10="Closed","Closed",IF(J10&gt;K10,"Overdue","On Track"))</f>
        <v>Overdue</v>
      </c>
    </row>
    <row r="11" customFormat="false" ht="15" hidden="false" customHeight="false" outlineLevel="0" collapsed="false">
      <c r="B11" s="8" t="s">
        <v>234</v>
      </c>
      <c r="C11" s="8" t="s">
        <v>72</v>
      </c>
      <c r="D11" s="8" t="s">
        <v>73</v>
      </c>
      <c r="E11" s="13" t="n">
        <v>46164</v>
      </c>
      <c r="F11" s="8" t="s">
        <v>230</v>
      </c>
      <c r="G11" s="8" t="s">
        <v>218</v>
      </c>
      <c r="H11" s="8" t="s">
        <v>20</v>
      </c>
      <c r="I11" s="8" t="s">
        <v>71</v>
      </c>
      <c r="J11" s="14" t="n">
        <f aca="false">DATE(2026,7,21)-E11</f>
        <v>60</v>
      </c>
      <c r="K11" s="15" t="n">
        <v>5</v>
      </c>
      <c r="L11" s="15" t="str">
        <f aca="false">IF(H11="Closed","Closed",IF(J11&gt;K11,"Overdue","On Track"))</f>
        <v>Overdue</v>
      </c>
    </row>
    <row r="12" customFormat="false" ht="15" hidden="false" customHeight="false" outlineLevel="0" collapsed="false">
      <c r="B12" s="8" t="s">
        <v>235</v>
      </c>
      <c r="C12" s="8" t="s">
        <v>67</v>
      </c>
      <c r="D12" s="8" t="s">
        <v>68</v>
      </c>
      <c r="E12" s="13" t="n">
        <v>46209</v>
      </c>
      <c r="F12" s="8" t="s">
        <v>217</v>
      </c>
      <c r="G12" s="8" t="s">
        <v>236</v>
      </c>
      <c r="H12" s="8" t="s">
        <v>20</v>
      </c>
      <c r="I12" s="8" t="s">
        <v>51</v>
      </c>
      <c r="J12" s="14" t="n">
        <f aca="false">DATE(2026,7,21)-E12</f>
        <v>15</v>
      </c>
      <c r="K12" s="15" t="n">
        <v>5</v>
      </c>
      <c r="L12" s="15" t="str">
        <f aca="false">IF(H12="Closed","Closed",IF(J12&gt;K12,"Overdue","On Track"))</f>
        <v>Overdue</v>
      </c>
    </row>
    <row r="13" customFormat="false" ht="15" hidden="false" customHeight="false" outlineLevel="0" collapsed="false">
      <c r="B13" s="8" t="s">
        <v>237</v>
      </c>
      <c r="C13" s="8" t="s">
        <v>123</v>
      </c>
      <c r="D13" s="8" t="s">
        <v>124</v>
      </c>
      <c r="E13" s="13" t="n">
        <v>46180</v>
      </c>
      <c r="F13" s="8" t="s">
        <v>226</v>
      </c>
      <c r="G13" s="8" t="s">
        <v>236</v>
      </c>
      <c r="H13" s="8" t="s">
        <v>17</v>
      </c>
      <c r="I13" s="8" t="s">
        <v>54</v>
      </c>
      <c r="J13" s="14" t="n">
        <f aca="false">DATE(2026,7,21)-E13</f>
        <v>44</v>
      </c>
      <c r="K13" s="15" t="n">
        <v>5</v>
      </c>
      <c r="L13" s="15" t="str">
        <f aca="false">IF(H13="Closed","Closed",IF(J13&gt;K13,"Overdue","On Track"))</f>
        <v>Overdue</v>
      </c>
    </row>
    <row r="14" customFormat="false" ht="15" hidden="false" customHeight="false" outlineLevel="0" collapsed="false">
      <c r="B14" s="8" t="s">
        <v>238</v>
      </c>
      <c r="C14" s="8" t="s">
        <v>105</v>
      </c>
      <c r="D14" s="8" t="s">
        <v>106</v>
      </c>
      <c r="E14" s="13" t="n">
        <v>46180</v>
      </c>
      <c r="F14" s="8" t="s">
        <v>217</v>
      </c>
      <c r="G14" s="8" t="s">
        <v>227</v>
      </c>
      <c r="H14" s="8" t="s">
        <v>14</v>
      </c>
      <c r="I14" s="8" t="s">
        <v>43</v>
      </c>
      <c r="J14" s="14" t="n">
        <f aca="false">DATE(2026,7,21)-E14</f>
        <v>44</v>
      </c>
      <c r="K14" s="15" t="n">
        <v>5</v>
      </c>
      <c r="L14" s="15" t="str">
        <f aca="false">IF(H14="Closed","Closed",IF(J14&gt;K14,"Overdue","On Track"))</f>
        <v>Overdue</v>
      </c>
    </row>
    <row r="15" customFormat="false" ht="15" hidden="false" customHeight="false" outlineLevel="0" collapsed="false">
      <c r="B15" s="8" t="s">
        <v>239</v>
      </c>
      <c r="C15" s="8" t="s">
        <v>69</v>
      </c>
      <c r="D15" s="8" t="s">
        <v>70</v>
      </c>
      <c r="E15" s="13" t="n">
        <v>46182</v>
      </c>
      <c r="F15" s="8" t="s">
        <v>233</v>
      </c>
      <c r="G15" s="8" t="s">
        <v>236</v>
      </c>
      <c r="H15" s="8" t="s">
        <v>17</v>
      </c>
      <c r="I15" s="8" t="s">
        <v>71</v>
      </c>
      <c r="J15" s="14" t="n">
        <f aca="false">DATE(2026,7,21)-E15</f>
        <v>42</v>
      </c>
      <c r="K15" s="15" t="n">
        <v>5</v>
      </c>
      <c r="L15" s="15" t="str">
        <f aca="false">IF(H15="Closed","Closed",IF(J15&gt;K15,"Overdue","On Track"))</f>
        <v>Overdue</v>
      </c>
    </row>
    <row r="16" customFormat="false" ht="15" hidden="false" customHeight="false" outlineLevel="0" collapsed="false">
      <c r="B16" s="8" t="s">
        <v>240</v>
      </c>
      <c r="C16" s="8" t="s">
        <v>80</v>
      </c>
      <c r="D16" s="8" t="s">
        <v>81</v>
      </c>
      <c r="E16" s="13" t="n">
        <v>46166</v>
      </c>
      <c r="F16" s="8" t="s">
        <v>226</v>
      </c>
      <c r="G16" s="8" t="s">
        <v>236</v>
      </c>
      <c r="H16" s="8" t="s">
        <v>22</v>
      </c>
      <c r="I16" s="8" t="s">
        <v>54</v>
      </c>
      <c r="J16" s="14" t="n">
        <f aca="false">DATE(2026,7,21)-E16</f>
        <v>58</v>
      </c>
      <c r="K16" s="15" t="n">
        <v>5</v>
      </c>
      <c r="L16" s="15" t="str">
        <f aca="false">IF(H16="Closed","Closed",IF(J16&gt;K16,"Overdue","On Track"))</f>
        <v>Closed</v>
      </c>
    </row>
    <row r="17" customFormat="false" ht="15" hidden="false" customHeight="false" outlineLevel="0" collapsed="false">
      <c r="B17" s="8" t="s">
        <v>241</v>
      </c>
      <c r="C17" s="8" t="s">
        <v>119</v>
      </c>
      <c r="D17" s="8" t="s">
        <v>120</v>
      </c>
      <c r="E17" s="13" t="n">
        <v>46186</v>
      </c>
      <c r="F17" s="8" t="s">
        <v>220</v>
      </c>
      <c r="G17" s="8" t="s">
        <v>236</v>
      </c>
      <c r="H17" s="8" t="s">
        <v>22</v>
      </c>
      <c r="I17" s="8" t="s">
        <v>54</v>
      </c>
      <c r="J17" s="14" t="n">
        <f aca="false">DATE(2026,7,21)-E17</f>
        <v>38</v>
      </c>
      <c r="K17" s="15" t="n">
        <v>5</v>
      </c>
      <c r="L17" s="15" t="str">
        <f aca="false">IF(H17="Closed","Closed",IF(J17&gt;K17,"Overdue","On Track"))</f>
        <v>Closed</v>
      </c>
    </row>
    <row r="18" customFormat="false" ht="15" hidden="false" customHeight="false" outlineLevel="0" collapsed="false">
      <c r="B18" s="8" t="s">
        <v>242</v>
      </c>
      <c r="C18" s="8" t="s">
        <v>97</v>
      </c>
      <c r="D18" s="8" t="s">
        <v>98</v>
      </c>
      <c r="E18" s="13" t="n">
        <v>46180</v>
      </c>
      <c r="F18" s="8" t="s">
        <v>233</v>
      </c>
      <c r="G18" s="8" t="s">
        <v>218</v>
      </c>
      <c r="H18" s="8" t="s">
        <v>22</v>
      </c>
      <c r="I18" s="8" t="s">
        <v>51</v>
      </c>
      <c r="J18" s="14" t="n">
        <f aca="false">DATE(2026,7,21)-E18</f>
        <v>44</v>
      </c>
      <c r="K18" s="15" t="n">
        <v>5</v>
      </c>
      <c r="L18" s="15" t="str">
        <f aca="false">IF(H18="Closed","Closed",IF(J18&gt;K18,"Overdue","On Track"))</f>
        <v>Closed</v>
      </c>
    </row>
    <row r="19" customFormat="false" ht="15" hidden="false" customHeight="false" outlineLevel="0" collapsed="false">
      <c r="B19" s="8" t="s">
        <v>243</v>
      </c>
      <c r="C19" s="8" t="s">
        <v>123</v>
      </c>
      <c r="D19" s="8" t="s">
        <v>124</v>
      </c>
      <c r="E19" s="13" t="n">
        <v>46219</v>
      </c>
      <c r="F19" s="8" t="s">
        <v>220</v>
      </c>
      <c r="G19" s="8" t="s">
        <v>231</v>
      </c>
      <c r="H19" s="8" t="s">
        <v>14</v>
      </c>
      <c r="I19" s="8" t="s">
        <v>43</v>
      </c>
      <c r="J19" s="14" t="n">
        <f aca="false">DATE(2026,7,21)-E19</f>
        <v>5</v>
      </c>
      <c r="K19" s="15" t="n">
        <v>5</v>
      </c>
      <c r="L19" s="15" t="str">
        <f aca="false">IF(H19="Closed","Closed",IF(J19&gt;K19,"Overdue","On Track"))</f>
        <v>On Track</v>
      </c>
    </row>
    <row r="20" customFormat="false" ht="15" hidden="false" customHeight="false" outlineLevel="0" collapsed="false">
      <c r="B20" s="8" t="s">
        <v>244</v>
      </c>
      <c r="C20" s="8" t="s">
        <v>41</v>
      </c>
      <c r="D20" s="8" t="s">
        <v>42</v>
      </c>
      <c r="E20" s="13" t="n">
        <v>46208</v>
      </c>
      <c r="F20" s="8" t="s">
        <v>224</v>
      </c>
      <c r="G20" s="8" t="s">
        <v>231</v>
      </c>
      <c r="H20" s="8" t="s">
        <v>14</v>
      </c>
      <c r="I20" s="8" t="s">
        <v>43</v>
      </c>
      <c r="J20" s="14" t="n">
        <f aca="false">DATE(2026,7,21)-E20</f>
        <v>16</v>
      </c>
      <c r="K20" s="15" t="n">
        <v>5</v>
      </c>
      <c r="L20" s="15" t="str">
        <f aca="false">IF(H20="Closed","Closed",IF(J20&gt;K20,"Overdue","On Track"))</f>
        <v>Overdue</v>
      </c>
    </row>
    <row r="21" customFormat="false" ht="15" hidden="false" customHeight="false" outlineLevel="0" collapsed="false">
      <c r="B21" s="8" t="s">
        <v>245</v>
      </c>
      <c r="C21" s="8" t="s">
        <v>41</v>
      </c>
      <c r="D21" s="8" t="s">
        <v>42</v>
      </c>
      <c r="E21" s="13" t="n">
        <v>46187</v>
      </c>
      <c r="F21" s="8" t="s">
        <v>224</v>
      </c>
      <c r="G21" s="8" t="s">
        <v>231</v>
      </c>
      <c r="H21" s="8" t="s">
        <v>22</v>
      </c>
      <c r="I21" s="8" t="s">
        <v>43</v>
      </c>
      <c r="J21" s="14" t="n">
        <f aca="false">DATE(2026,7,21)-E21</f>
        <v>37</v>
      </c>
      <c r="K21" s="15" t="n">
        <v>5</v>
      </c>
      <c r="L21" s="15" t="str">
        <f aca="false">IF(H21="Closed","Closed",IF(J21&gt;K21,"Overdue","On Track"))</f>
        <v>Closed</v>
      </c>
    </row>
    <row r="22" customFormat="false" ht="15" hidden="false" customHeight="false" outlineLevel="0" collapsed="false">
      <c r="B22" s="8" t="s">
        <v>246</v>
      </c>
      <c r="C22" s="8" t="s">
        <v>67</v>
      </c>
      <c r="D22" s="8" t="s">
        <v>68</v>
      </c>
      <c r="E22" s="13" t="n">
        <v>46222</v>
      </c>
      <c r="F22" s="8" t="s">
        <v>224</v>
      </c>
      <c r="G22" s="8" t="s">
        <v>218</v>
      </c>
      <c r="H22" s="8" t="s">
        <v>17</v>
      </c>
      <c r="I22" s="8" t="s">
        <v>54</v>
      </c>
      <c r="J22" s="14" t="n">
        <f aca="false">DATE(2026,7,21)-E22</f>
        <v>2</v>
      </c>
      <c r="K22" s="15" t="n">
        <v>5</v>
      </c>
      <c r="L22" s="15" t="str">
        <f aca="false">IF(H22="Closed","Closed",IF(J22&gt;K22,"Overdue","On Track"))</f>
        <v>On Track</v>
      </c>
    </row>
    <row r="23" customFormat="false" ht="15" hidden="false" customHeight="false" outlineLevel="0" collapsed="false">
      <c r="B23" s="8" t="s">
        <v>247</v>
      </c>
      <c r="C23" s="8" t="s">
        <v>121</v>
      </c>
      <c r="D23" s="8" t="s">
        <v>122</v>
      </c>
      <c r="E23" s="13" t="n">
        <v>46213</v>
      </c>
      <c r="F23" s="8" t="s">
        <v>222</v>
      </c>
      <c r="G23" s="8" t="s">
        <v>218</v>
      </c>
      <c r="H23" s="8" t="s">
        <v>17</v>
      </c>
      <c r="I23" s="8" t="s">
        <v>38</v>
      </c>
      <c r="J23" s="14" t="n">
        <f aca="false">DATE(2026,7,21)-E23</f>
        <v>11</v>
      </c>
      <c r="K23" s="15" t="n">
        <v>5</v>
      </c>
      <c r="L23" s="15" t="str">
        <f aca="false">IF(H23="Closed","Closed",IF(J23&gt;K23,"Overdue","On Track"))</f>
        <v>Overdue</v>
      </c>
    </row>
    <row r="24" customFormat="false" ht="15" hidden="false" customHeight="false" outlineLevel="0" collapsed="false">
      <c r="B24" s="8" t="s">
        <v>248</v>
      </c>
      <c r="C24" s="8" t="s">
        <v>91</v>
      </c>
      <c r="D24" s="8" t="s">
        <v>92</v>
      </c>
      <c r="E24" s="13" t="n">
        <v>46194</v>
      </c>
      <c r="F24" s="8" t="s">
        <v>230</v>
      </c>
      <c r="G24" s="8" t="s">
        <v>218</v>
      </c>
      <c r="H24" s="8" t="s">
        <v>17</v>
      </c>
      <c r="I24" s="8" t="s">
        <v>71</v>
      </c>
      <c r="J24" s="14" t="n">
        <f aca="false">DATE(2026,7,21)-E24</f>
        <v>30</v>
      </c>
      <c r="K24" s="15" t="n">
        <v>5</v>
      </c>
      <c r="L24" s="15" t="str">
        <f aca="false">IF(H24="Closed","Closed",IF(J24&gt;K24,"Overdue","On Track"))</f>
        <v>Overdue</v>
      </c>
    </row>
    <row r="25" customFormat="false" ht="15" hidden="false" customHeight="false" outlineLevel="0" collapsed="false">
      <c r="B25" s="8" t="s">
        <v>249</v>
      </c>
      <c r="C25" s="8" t="s">
        <v>99</v>
      </c>
      <c r="D25" s="8" t="s">
        <v>100</v>
      </c>
      <c r="E25" s="13" t="n">
        <v>46203</v>
      </c>
      <c r="F25" s="8" t="s">
        <v>230</v>
      </c>
      <c r="G25" s="8" t="s">
        <v>218</v>
      </c>
      <c r="H25" s="8" t="s">
        <v>20</v>
      </c>
      <c r="I25" s="8" t="s">
        <v>51</v>
      </c>
      <c r="J25" s="14" t="n">
        <f aca="false">DATE(2026,7,21)-E25</f>
        <v>21</v>
      </c>
      <c r="K25" s="15" t="n">
        <v>5</v>
      </c>
      <c r="L25" s="15" t="str">
        <f aca="false">IF(H25="Closed","Closed",IF(J25&gt;K25,"Overdue","On Track"))</f>
        <v>Overdue</v>
      </c>
    </row>
    <row r="26" customFormat="false" ht="15" hidden="false" customHeight="false" outlineLevel="0" collapsed="false">
      <c r="B26" s="8" t="s">
        <v>250</v>
      </c>
      <c r="C26" s="8" t="s">
        <v>117</v>
      </c>
      <c r="D26" s="8" t="s">
        <v>118</v>
      </c>
      <c r="E26" s="13" t="n">
        <v>46172</v>
      </c>
      <c r="F26" s="8" t="s">
        <v>226</v>
      </c>
      <c r="G26" s="8" t="s">
        <v>218</v>
      </c>
      <c r="H26" s="8" t="s">
        <v>14</v>
      </c>
      <c r="I26" s="8" t="s">
        <v>54</v>
      </c>
      <c r="J26" s="14" t="n">
        <f aca="false">DATE(2026,7,21)-E26</f>
        <v>52</v>
      </c>
      <c r="K26" s="15" t="n">
        <v>5</v>
      </c>
      <c r="L26" s="15" t="str">
        <f aca="false">IF(H26="Closed","Closed",IF(J26&gt;K26,"Overdue","On Track"))</f>
        <v>Overdue</v>
      </c>
    </row>
    <row r="27" customFormat="false" ht="15" hidden="false" customHeight="false" outlineLevel="0" collapsed="false">
      <c r="B27" s="8" t="s">
        <v>251</v>
      </c>
      <c r="C27" s="8" t="s">
        <v>97</v>
      </c>
      <c r="D27" s="8" t="s">
        <v>98</v>
      </c>
      <c r="E27" s="13" t="n">
        <v>46217</v>
      </c>
      <c r="F27" s="8" t="s">
        <v>222</v>
      </c>
      <c r="G27" s="8" t="s">
        <v>227</v>
      </c>
      <c r="H27" s="8" t="s">
        <v>22</v>
      </c>
      <c r="I27" s="8" t="s">
        <v>43</v>
      </c>
      <c r="J27" s="14" t="n">
        <f aca="false">DATE(2026,7,21)-E27</f>
        <v>7</v>
      </c>
      <c r="K27" s="15" t="n">
        <v>5</v>
      </c>
      <c r="L27" s="15" t="str">
        <f aca="false">IF(H27="Closed","Closed",IF(J27&gt;K27,"Overdue","On Track"))</f>
        <v>Closed</v>
      </c>
    </row>
    <row r="28" customFormat="false" ht="15" hidden="false" customHeight="false" outlineLevel="0" collapsed="false">
      <c r="B28" s="8" t="s">
        <v>252</v>
      </c>
      <c r="C28" s="8" t="s">
        <v>99</v>
      </c>
      <c r="D28" s="8" t="s">
        <v>100</v>
      </c>
      <c r="E28" s="13" t="n">
        <v>46195</v>
      </c>
      <c r="F28" s="8" t="s">
        <v>233</v>
      </c>
      <c r="G28" s="8" t="s">
        <v>218</v>
      </c>
      <c r="H28" s="8" t="s">
        <v>14</v>
      </c>
      <c r="I28" s="8" t="s">
        <v>51</v>
      </c>
      <c r="J28" s="14" t="n">
        <f aca="false">DATE(2026,7,21)-E28</f>
        <v>29</v>
      </c>
      <c r="K28" s="15" t="n">
        <v>5</v>
      </c>
      <c r="L28" s="15" t="str">
        <f aca="false">IF(H28="Closed","Closed",IF(J28&gt;K28,"Overdue","On Track"))</f>
        <v>Overdue</v>
      </c>
    </row>
    <row r="29" customFormat="false" ht="15" hidden="false" customHeight="false" outlineLevel="0" collapsed="false">
      <c r="B29" s="8" t="s">
        <v>253</v>
      </c>
      <c r="C29" s="8" t="s">
        <v>103</v>
      </c>
      <c r="D29" s="8" t="s">
        <v>104</v>
      </c>
      <c r="E29" s="13" t="n">
        <v>46184</v>
      </c>
      <c r="F29" s="8" t="s">
        <v>217</v>
      </c>
      <c r="G29" s="8" t="s">
        <v>236</v>
      </c>
      <c r="H29" s="8" t="s">
        <v>22</v>
      </c>
      <c r="I29" s="8" t="s">
        <v>71</v>
      </c>
      <c r="J29" s="14" t="n">
        <f aca="false">DATE(2026,7,21)-E29</f>
        <v>40</v>
      </c>
      <c r="K29" s="15" t="n">
        <v>5</v>
      </c>
      <c r="L29" s="15" t="str">
        <f aca="false">IF(H29="Closed","Closed",IF(J29&gt;K29,"Overdue","On Track"))</f>
        <v>Closed</v>
      </c>
    </row>
    <row r="30" customFormat="false" ht="15" hidden="false" customHeight="false" outlineLevel="0" collapsed="false">
      <c r="B30" s="8" t="s">
        <v>254</v>
      </c>
      <c r="C30" s="8" t="s">
        <v>82</v>
      </c>
      <c r="D30" s="8" t="s">
        <v>83</v>
      </c>
      <c r="E30" s="13" t="n">
        <v>46165</v>
      </c>
      <c r="F30" s="8" t="s">
        <v>224</v>
      </c>
      <c r="G30" s="8" t="s">
        <v>218</v>
      </c>
      <c r="H30" s="8" t="s">
        <v>17</v>
      </c>
      <c r="I30" s="8" t="s">
        <v>38</v>
      </c>
      <c r="J30" s="14" t="n">
        <f aca="false">DATE(2026,7,21)-E30</f>
        <v>59</v>
      </c>
      <c r="K30" s="15" t="n">
        <v>5</v>
      </c>
      <c r="L30" s="15" t="str">
        <f aca="false">IF(H30="Closed","Closed",IF(J30&gt;K30,"Overdue","On Track"))</f>
        <v>Overdue</v>
      </c>
    </row>
    <row r="31" customFormat="false" ht="15" hidden="false" customHeight="false" outlineLevel="0" collapsed="false">
      <c r="B31" s="8" t="s">
        <v>255</v>
      </c>
      <c r="C31" s="8" t="s">
        <v>123</v>
      </c>
      <c r="D31" s="8" t="s">
        <v>124</v>
      </c>
      <c r="E31" s="13" t="n">
        <v>46184</v>
      </c>
      <c r="F31" s="8" t="s">
        <v>224</v>
      </c>
      <c r="G31" s="8" t="s">
        <v>236</v>
      </c>
      <c r="H31" s="8" t="s">
        <v>22</v>
      </c>
      <c r="I31" s="8" t="s">
        <v>43</v>
      </c>
      <c r="J31" s="14" t="n">
        <f aca="false">DATE(2026,7,21)-E31</f>
        <v>40</v>
      </c>
      <c r="K31" s="15" t="n">
        <v>5</v>
      </c>
      <c r="L31" s="15" t="str">
        <f aca="false">IF(H31="Closed","Closed",IF(J31&gt;K31,"Overdue","On Track"))</f>
        <v>Closed</v>
      </c>
    </row>
    <row r="32" customFormat="false" ht="15" hidden="false" customHeight="false" outlineLevel="0" collapsed="false">
      <c r="B32" s="8" t="s">
        <v>256</v>
      </c>
      <c r="C32" s="8" t="s">
        <v>117</v>
      </c>
      <c r="D32" s="8" t="s">
        <v>118</v>
      </c>
      <c r="E32" s="13" t="n">
        <v>46224</v>
      </c>
      <c r="F32" s="8" t="s">
        <v>217</v>
      </c>
      <c r="G32" s="8" t="s">
        <v>227</v>
      </c>
      <c r="H32" s="8" t="s">
        <v>17</v>
      </c>
      <c r="I32" s="8" t="s">
        <v>38</v>
      </c>
      <c r="J32" s="14" t="n">
        <f aca="false">DATE(2026,7,21)-E32</f>
        <v>0</v>
      </c>
      <c r="K32" s="15" t="n">
        <v>5</v>
      </c>
      <c r="L32" s="15" t="str">
        <f aca="false">IF(H32="Closed","Closed",IF(J32&gt;K32,"Overdue","On Track"))</f>
        <v>On Track</v>
      </c>
    </row>
    <row r="33" customFormat="false" ht="15" hidden="false" customHeight="false" outlineLevel="0" collapsed="false">
      <c r="B33" s="8" t="s">
        <v>257</v>
      </c>
      <c r="C33" s="8" t="s">
        <v>59</v>
      </c>
      <c r="D33" s="8" t="s">
        <v>60</v>
      </c>
      <c r="E33" s="13" t="n">
        <v>46195</v>
      </c>
      <c r="F33" s="8" t="s">
        <v>217</v>
      </c>
      <c r="G33" s="8" t="s">
        <v>218</v>
      </c>
      <c r="H33" s="8" t="s">
        <v>20</v>
      </c>
      <c r="I33" s="8" t="s">
        <v>54</v>
      </c>
      <c r="J33" s="14" t="n">
        <f aca="false">DATE(2026,7,21)-E33</f>
        <v>29</v>
      </c>
      <c r="K33" s="15" t="n">
        <v>5</v>
      </c>
      <c r="L33" s="15" t="str">
        <f aca="false">IF(H33="Closed","Closed",IF(J33&gt;K33,"Overdue","On Track"))</f>
        <v>Overdue</v>
      </c>
    </row>
    <row r="34" customFormat="false" ht="15" hidden="false" customHeight="false" outlineLevel="0" collapsed="false">
      <c r="B34" s="8" t="s">
        <v>258</v>
      </c>
      <c r="C34" s="8" t="s">
        <v>80</v>
      </c>
      <c r="D34" s="8" t="s">
        <v>81</v>
      </c>
      <c r="E34" s="13" t="n">
        <v>46192</v>
      </c>
      <c r="F34" s="8" t="s">
        <v>220</v>
      </c>
      <c r="G34" s="8" t="s">
        <v>227</v>
      </c>
      <c r="H34" s="8" t="s">
        <v>17</v>
      </c>
      <c r="I34" s="8" t="s">
        <v>71</v>
      </c>
      <c r="J34" s="14" t="n">
        <f aca="false">DATE(2026,7,21)-E34</f>
        <v>32</v>
      </c>
      <c r="K34" s="15" t="n">
        <v>5</v>
      </c>
      <c r="L34" s="15" t="str">
        <f aca="false">IF(H34="Closed","Closed",IF(J34&gt;K34,"Overdue","On Track"))</f>
        <v>Overdue</v>
      </c>
    </row>
    <row r="35" customFormat="false" ht="15" hidden="false" customHeight="false" outlineLevel="0" collapsed="false">
      <c r="B35" s="8" t="s">
        <v>259</v>
      </c>
      <c r="C35" s="8" t="s">
        <v>117</v>
      </c>
      <c r="D35" s="8" t="s">
        <v>118</v>
      </c>
      <c r="E35" s="13" t="n">
        <v>46195</v>
      </c>
      <c r="F35" s="8" t="s">
        <v>217</v>
      </c>
      <c r="G35" s="8" t="s">
        <v>227</v>
      </c>
      <c r="H35" s="8" t="s">
        <v>14</v>
      </c>
      <c r="I35" s="8" t="s">
        <v>43</v>
      </c>
      <c r="J35" s="14" t="n">
        <f aca="false">DATE(2026,7,21)-E35</f>
        <v>29</v>
      </c>
      <c r="K35" s="15" t="n">
        <v>5</v>
      </c>
      <c r="L35" s="15" t="str">
        <f aca="false">IF(H35="Closed","Closed",IF(J35&gt;K35,"Overdue","On Track"))</f>
        <v>Overdue</v>
      </c>
    </row>
    <row r="36" customFormat="false" ht="15" hidden="false" customHeight="false" outlineLevel="0" collapsed="false">
      <c r="B36" s="8" t="s">
        <v>260</v>
      </c>
      <c r="C36" s="8" t="s">
        <v>61</v>
      </c>
      <c r="D36" s="8" t="s">
        <v>62</v>
      </c>
      <c r="E36" s="13" t="n">
        <v>46177</v>
      </c>
      <c r="F36" s="8" t="s">
        <v>230</v>
      </c>
      <c r="G36" s="8" t="s">
        <v>231</v>
      </c>
      <c r="H36" s="8" t="s">
        <v>22</v>
      </c>
      <c r="I36" s="8" t="s">
        <v>51</v>
      </c>
      <c r="J36" s="14" t="n">
        <f aca="false">DATE(2026,7,21)-E36</f>
        <v>47</v>
      </c>
      <c r="K36" s="15" t="n">
        <v>5</v>
      </c>
      <c r="L36" s="15" t="str">
        <f aca="false">IF(H36="Closed","Closed",IF(J36&gt;K36,"Overdue","On Track"))</f>
        <v>Closed</v>
      </c>
    </row>
    <row r="37" customFormat="false" ht="15" hidden="false" customHeight="false" outlineLevel="0" collapsed="false">
      <c r="B37" s="8" t="s">
        <v>261</v>
      </c>
      <c r="C37" s="8" t="s">
        <v>111</v>
      </c>
      <c r="D37" s="8" t="s">
        <v>112</v>
      </c>
      <c r="E37" s="13" t="n">
        <v>46203</v>
      </c>
      <c r="F37" s="8" t="s">
        <v>226</v>
      </c>
      <c r="G37" s="8" t="s">
        <v>236</v>
      </c>
      <c r="H37" s="8" t="s">
        <v>17</v>
      </c>
      <c r="I37" s="8" t="s">
        <v>54</v>
      </c>
      <c r="J37" s="14" t="n">
        <f aca="false">DATE(2026,7,21)-E37</f>
        <v>21</v>
      </c>
      <c r="K37" s="15" t="n">
        <v>5</v>
      </c>
      <c r="L37" s="15" t="str">
        <f aca="false">IF(H37="Closed","Closed",IF(J37&gt;K37,"Overdue","On Track"))</f>
        <v>Overdue</v>
      </c>
    </row>
    <row r="38" customFormat="false" ht="15" hidden="false" customHeight="false" outlineLevel="0" collapsed="false">
      <c r="B38" s="8" t="s">
        <v>262</v>
      </c>
      <c r="C38" s="8" t="s">
        <v>121</v>
      </c>
      <c r="D38" s="8" t="s">
        <v>122</v>
      </c>
      <c r="E38" s="13" t="n">
        <v>46171</v>
      </c>
      <c r="F38" s="8" t="s">
        <v>224</v>
      </c>
      <c r="G38" s="8" t="s">
        <v>218</v>
      </c>
      <c r="H38" s="8" t="s">
        <v>20</v>
      </c>
      <c r="I38" s="8" t="s">
        <v>71</v>
      </c>
      <c r="J38" s="14" t="n">
        <f aca="false">DATE(2026,7,21)-E38</f>
        <v>53</v>
      </c>
      <c r="K38" s="15" t="n">
        <v>5</v>
      </c>
      <c r="L38" s="15" t="str">
        <f aca="false">IF(H38="Closed","Closed",IF(J38&gt;K38,"Overdue","On Track"))</f>
        <v>Overdue</v>
      </c>
    </row>
    <row r="39" customFormat="false" ht="15" hidden="false" customHeight="false" outlineLevel="0" collapsed="false">
      <c r="B39" s="8" t="s">
        <v>263</v>
      </c>
      <c r="C39" s="8" t="s">
        <v>115</v>
      </c>
      <c r="D39" s="8" t="s">
        <v>116</v>
      </c>
      <c r="E39" s="13" t="n">
        <v>46196</v>
      </c>
      <c r="F39" s="8" t="s">
        <v>230</v>
      </c>
      <c r="G39" s="8" t="s">
        <v>218</v>
      </c>
      <c r="H39" s="8" t="s">
        <v>17</v>
      </c>
      <c r="I39" s="8" t="s">
        <v>43</v>
      </c>
      <c r="J39" s="14" t="n">
        <f aca="false">DATE(2026,7,21)-E39</f>
        <v>28</v>
      </c>
      <c r="K39" s="15" t="n">
        <v>5</v>
      </c>
      <c r="L39" s="15" t="str">
        <f aca="false">IF(H39="Closed","Closed",IF(J39&gt;K39,"Overdue","On Track"))</f>
        <v>Overdue</v>
      </c>
    </row>
    <row r="40" customFormat="false" ht="15" hidden="false" customHeight="false" outlineLevel="0" collapsed="false">
      <c r="B40" s="8" t="s">
        <v>264</v>
      </c>
      <c r="C40" s="8" t="s">
        <v>105</v>
      </c>
      <c r="D40" s="8" t="s">
        <v>106</v>
      </c>
      <c r="E40" s="13" t="n">
        <v>46200</v>
      </c>
      <c r="F40" s="8" t="s">
        <v>222</v>
      </c>
      <c r="G40" s="8" t="s">
        <v>236</v>
      </c>
      <c r="H40" s="8" t="s">
        <v>22</v>
      </c>
      <c r="I40" s="8" t="s">
        <v>71</v>
      </c>
      <c r="J40" s="14" t="n">
        <f aca="false">DATE(2026,7,21)-E40</f>
        <v>24</v>
      </c>
      <c r="K40" s="15" t="n">
        <v>5</v>
      </c>
      <c r="L40" s="15" t="str">
        <f aca="false">IF(H40="Closed","Closed",IF(J40&gt;K40,"Overdue","On Track"))</f>
        <v>Closed</v>
      </c>
    </row>
    <row r="41" customFormat="false" ht="15" hidden="false" customHeight="false" outlineLevel="0" collapsed="false">
      <c r="B41" s="8" t="s">
        <v>265</v>
      </c>
      <c r="C41" s="8" t="s">
        <v>95</v>
      </c>
      <c r="D41" s="8" t="s">
        <v>96</v>
      </c>
      <c r="E41" s="13" t="n">
        <v>46188</v>
      </c>
      <c r="F41" s="8" t="s">
        <v>222</v>
      </c>
      <c r="G41" s="8" t="s">
        <v>218</v>
      </c>
      <c r="H41" s="8" t="s">
        <v>14</v>
      </c>
      <c r="I41" s="8" t="s">
        <v>54</v>
      </c>
      <c r="J41" s="14" t="n">
        <f aca="false">DATE(2026,7,21)-E41</f>
        <v>36</v>
      </c>
      <c r="K41" s="15" t="n">
        <v>5</v>
      </c>
      <c r="L41" s="15" t="str">
        <f aca="false">IF(H41="Closed","Closed",IF(J41&gt;K41,"Overdue","On Track"))</f>
        <v>Overdue</v>
      </c>
    </row>
    <row r="42" customFormat="false" ht="15" hidden="false" customHeight="false" outlineLevel="0" collapsed="false">
      <c r="B42" s="8" t="s">
        <v>266</v>
      </c>
      <c r="C42" s="8" t="s">
        <v>107</v>
      </c>
      <c r="D42" s="8" t="s">
        <v>108</v>
      </c>
      <c r="E42" s="13" t="n">
        <v>46177</v>
      </c>
      <c r="F42" s="8" t="s">
        <v>222</v>
      </c>
      <c r="G42" s="8" t="s">
        <v>218</v>
      </c>
      <c r="H42" s="8" t="s">
        <v>20</v>
      </c>
      <c r="I42" s="8" t="s">
        <v>71</v>
      </c>
      <c r="J42" s="14" t="n">
        <f aca="false">DATE(2026,7,21)-E42</f>
        <v>47</v>
      </c>
      <c r="K42" s="15" t="n">
        <v>5</v>
      </c>
      <c r="L42" s="15" t="str">
        <f aca="false">IF(H42="Closed","Closed",IF(J42&gt;K42,"Overdue","On Track"))</f>
        <v>Overdue</v>
      </c>
    </row>
    <row r="43" customFormat="false" ht="15" hidden="false" customHeight="false" outlineLevel="0" collapsed="false">
      <c r="B43" s="8" t="s">
        <v>267</v>
      </c>
      <c r="C43" s="8" t="s">
        <v>45</v>
      </c>
      <c r="D43" s="8" t="s">
        <v>46</v>
      </c>
      <c r="E43" s="13" t="n">
        <v>46193</v>
      </c>
      <c r="F43" s="8" t="s">
        <v>233</v>
      </c>
      <c r="G43" s="8" t="s">
        <v>218</v>
      </c>
      <c r="H43" s="8" t="s">
        <v>14</v>
      </c>
      <c r="I43" s="8" t="s">
        <v>38</v>
      </c>
      <c r="J43" s="14" t="n">
        <f aca="false">DATE(2026,7,21)-E43</f>
        <v>31</v>
      </c>
      <c r="K43" s="15" t="n">
        <v>5</v>
      </c>
      <c r="L43" s="15" t="str">
        <f aca="false">IF(H43="Closed","Closed",IF(J43&gt;K43,"Overdue","On Track"))</f>
        <v>Overdue</v>
      </c>
    </row>
    <row r="44" customFormat="false" ht="15" hidden="false" customHeight="false" outlineLevel="0" collapsed="false">
      <c r="B44" s="8" t="s">
        <v>268</v>
      </c>
      <c r="C44" s="8" t="s">
        <v>103</v>
      </c>
      <c r="D44" s="8" t="s">
        <v>104</v>
      </c>
      <c r="E44" s="13" t="n">
        <v>46169</v>
      </c>
      <c r="F44" s="8" t="s">
        <v>220</v>
      </c>
      <c r="G44" s="8" t="s">
        <v>236</v>
      </c>
      <c r="H44" s="8" t="s">
        <v>14</v>
      </c>
      <c r="I44" s="8" t="s">
        <v>71</v>
      </c>
      <c r="J44" s="14" t="n">
        <f aca="false">DATE(2026,7,21)-E44</f>
        <v>55</v>
      </c>
      <c r="K44" s="15" t="n">
        <v>5</v>
      </c>
      <c r="L44" s="15" t="str">
        <f aca="false">IF(H44="Closed","Closed",IF(J44&gt;K44,"Overdue","On Track"))</f>
        <v>Overdue</v>
      </c>
    </row>
    <row r="45" customFormat="false" ht="15" hidden="false" customHeight="false" outlineLevel="0" collapsed="false">
      <c r="B45" s="8" t="s">
        <v>269</v>
      </c>
      <c r="C45" s="8" t="s">
        <v>63</v>
      </c>
      <c r="D45" s="8" t="s">
        <v>64</v>
      </c>
      <c r="E45" s="13" t="n">
        <v>46198</v>
      </c>
      <c r="F45" s="8" t="s">
        <v>222</v>
      </c>
      <c r="G45" s="8" t="s">
        <v>227</v>
      </c>
      <c r="H45" s="8" t="s">
        <v>14</v>
      </c>
      <c r="I45" s="8" t="s">
        <v>54</v>
      </c>
      <c r="J45" s="14" t="n">
        <f aca="false">DATE(2026,7,21)-E45</f>
        <v>26</v>
      </c>
      <c r="K45" s="15" t="n">
        <v>5</v>
      </c>
      <c r="L45" s="15" t="str">
        <f aca="false">IF(H45="Closed","Closed",IF(J45&gt;K45,"Overdue","On Track"))</f>
        <v>Overdue</v>
      </c>
    </row>
    <row r="46" customFormat="false" ht="15" hidden="false" customHeight="false" outlineLevel="0" collapsed="false">
      <c r="B46" s="8" t="s">
        <v>270</v>
      </c>
      <c r="C46" s="8" t="s">
        <v>97</v>
      </c>
      <c r="D46" s="8" t="s">
        <v>98</v>
      </c>
      <c r="E46" s="13" t="n">
        <v>46185</v>
      </c>
      <c r="F46" s="8" t="s">
        <v>222</v>
      </c>
      <c r="G46" s="8" t="s">
        <v>218</v>
      </c>
      <c r="H46" s="8" t="s">
        <v>20</v>
      </c>
      <c r="I46" s="8" t="s">
        <v>43</v>
      </c>
      <c r="J46" s="14" t="n">
        <f aca="false">DATE(2026,7,21)-E46</f>
        <v>39</v>
      </c>
      <c r="K46" s="15" t="n">
        <v>5</v>
      </c>
      <c r="L46" s="15" t="str">
        <f aca="false">IF(H46="Closed","Closed",IF(J46&gt;K46,"Overdue","On Track"))</f>
        <v>Overdue</v>
      </c>
    </row>
    <row r="47" customFormat="false" ht="15" hidden="false" customHeight="false" outlineLevel="0" collapsed="false">
      <c r="B47" s="8" t="s">
        <v>271</v>
      </c>
      <c r="C47" s="8" t="s">
        <v>87</v>
      </c>
      <c r="D47" s="8" t="s">
        <v>88</v>
      </c>
      <c r="E47" s="13" t="n">
        <v>46200</v>
      </c>
      <c r="F47" s="8" t="s">
        <v>222</v>
      </c>
      <c r="G47" s="8" t="s">
        <v>218</v>
      </c>
      <c r="H47" s="8" t="s">
        <v>20</v>
      </c>
      <c r="I47" s="8" t="s">
        <v>43</v>
      </c>
      <c r="J47" s="14" t="n">
        <f aca="false">DATE(2026,7,21)-E47</f>
        <v>24</v>
      </c>
      <c r="K47" s="15" t="n">
        <v>5</v>
      </c>
      <c r="L47" s="15" t="str">
        <f aca="false">IF(H47="Closed","Closed",IF(J47&gt;K47,"Overdue","On Track"))</f>
        <v>Overdue</v>
      </c>
    </row>
  </sheetData>
  <autoFilter ref="B2:L47"/>
  <conditionalFormatting sqref="L3:L47">
    <cfRule type="cellIs" priority="2" operator="equal" aboveAverage="0" equalAverage="0" bottom="0" percent="0" rank="0" text="" dxfId="6">
      <formula>"Overdue"</formula>
    </cfRule>
    <cfRule type="cellIs" priority="3" operator="equal" aboveAverage="0" equalAverage="0" bottom="0" percent="0" rank="0" text="" dxfId="9">
      <formula>"On Track"</formula>
    </cfRule>
  </conditionalFormatting>
  <conditionalFormatting sqref="G3:G47">
    <cfRule type="cellIs" priority="4" operator="equal" aboveAverage="0" equalAverage="0" bottom="0" percent="0" rank="0" text="" dxfId="6">
      <formula>"Urgent"</formula>
    </cfRule>
    <cfRule type="cellIs" priority="5" operator="equal" aboveAverage="0" equalAverage="0" bottom="0" percent="0" rank="0" text="" dxfId="7">
      <formula>"High"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8"/>
  </cols>
  <sheetData>
    <row r="2" customFormat="false" ht="15" hidden="false" customHeight="false" outlineLevel="0" collapsed="false">
      <c r="B2" s="12" t="s">
        <v>272</v>
      </c>
      <c r="C2" s="12" t="s">
        <v>27</v>
      </c>
      <c r="D2" s="12" t="s">
        <v>28</v>
      </c>
      <c r="E2" s="12" t="s">
        <v>29</v>
      </c>
      <c r="F2" s="12" t="s">
        <v>273</v>
      </c>
      <c r="G2" s="12" t="s">
        <v>274</v>
      </c>
      <c r="H2" s="12" t="s">
        <v>30</v>
      </c>
      <c r="I2" s="12" t="s">
        <v>275</v>
      </c>
    </row>
    <row r="3" customFormat="false" ht="15" hidden="false" customHeight="false" outlineLevel="0" collapsed="false">
      <c r="B3" s="13" t="n">
        <v>46228</v>
      </c>
      <c r="C3" s="8" t="s">
        <v>87</v>
      </c>
      <c r="D3" s="8" t="s">
        <v>88</v>
      </c>
      <c r="E3" s="8" t="s">
        <v>13</v>
      </c>
      <c r="F3" s="8" t="s">
        <v>276</v>
      </c>
      <c r="G3" s="8" t="s">
        <v>277</v>
      </c>
      <c r="H3" s="8" t="s">
        <v>54</v>
      </c>
      <c r="I3" s="14" t="n">
        <f aca="false">DATE(2026,7,21)-B3</f>
        <v>-4</v>
      </c>
    </row>
    <row r="4" customFormat="false" ht="15" hidden="false" customHeight="false" outlineLevel="0" collapsed="false">
      <c r="B4" s="13" t="n">
        <v>46230</v>
      </c>
      <c r="C4" s="8" t="s">
        <v>74</v>
      </c>
      <c r="D4" s="8" t="s">
        <v>62</v>
      </c>
      <c r="E4" s="8" t="s">
        <v>16</v>
      </c>
      <c r="F4" s="8" t="s">
        <v>278</v>
      </c>
      <c r="G4" s="8" t="s">
        <v>277</v>
      </c>
      <c r="H4" s="8" t="s">
        <v>38</v>
      </c>
      <c r="I4" s="14" t="n">
        <f aca="false">DATE(2026,7,21)-B4</f>
        <v>-6</v>
      </c>
    </row>
    <row r="5" customFormat="false" ht="15" hidden="false" customHeight="false" outlineLevel="0" collapsed="false">
      <c r="B5" s="13" t="n">
        <v>46231</v>
      </c>
      <c r="C5" s="8" t="s">
        <v>107</v>
      </c>
      <c r="D5" s="8" t="s">
        <v>108</v>
      </c>
      <c r="E5" s="8" t="s">
        <v>13</v>
      </c>
      <c r="F5" s="8" t="s">
        <v>279</v>
      </c>
      <c r="G5" s="8" t="s">
        <v>277</v>
      </c>
      <c r="H5" s="8" t="s">
        <v>43</v>
      </c>
      <c r="I5" s="14" t="n">
        <f aca="false">DATE(2026,7,21)-B5</f>
        <v>-7</v>
      </c>
    </row>
    <row r="6" customFormat="false" ht="15" hidden="false" customHeight="false" outlineLevel="0" collapsed="false">
      <c r="B6" s="13" t="n">
        <v>46234</v>
      </c>
      <c r="C6" s="8" t="s">
        <v>101</v>
      </c>
      <c r="D6" s="8" t="s">
        <v>102</v>
      </c>
      <c r="E6" s="8" t="s">
        <v>19</v>
      </c>
      <c r="F6" s="8" t="s">
        <v>279</v>
      </c>
      <c r="G6" s="8" t="s">
        <v>280</v>
      </c>
      <c r="H6" s="8" t="s">
        <v>51</v>
      </c>
      <c r="I6" s="14" t="n">
        <f aca="false">DATE(2026,7,21)-B6</f>
        <v>-10</v>
      </c>
    </row>
    <row r="7" customFormat="false" ht="15" hidden="false" customHeight="false" outlineLevel="0" collapsed="false">
      <c r="B7" s="13" t="n">
        <v>46235</v>
      </c>
      <c r="C7" s="8" t="s">
        <v>103</v>
      </c>
      <c r="D7" s="8" t="s">
        <v>104</v>
      </c>
      <c r="E7" s="8" t="s">
        <v>13</v>
      </c>
      <c r="F7" s="8" t="s">
        <v>276</v>
      </c>
      <c r="G7" s="8" t="s">
        <v>277</v>
      </c>
      <c r="H7" s="8" t="s">
        <v>38</v>
      </c>
      <c r="I7" s="14" t="n">
        <f aca="false">DATE(2026,7,21)-B7</f>
        <v>-11</v>
      </c>
    </row>
    <row r="8" customFormat="false" ht="15" hidden="false" customHeight="false" outlineLevel="0" collapsed="false">
      <c r="B8" s="13" t="n">
        <v>46239</v>
      </c>
      <c r="C8" s="8" t="s">
        <v>82</v>
      </c>
      <c r="D8" s="8" t="s">
        <v>83</v>
      </c>
      <c r="E8" s="8" t="s">
        <v>13</v>
      </c>
      <c r="F8" s="8" t="s">
        <v>281</v>
      </c>
      <c r="G8" s="8" t="s">
        <v>277</v>
      </c>
      <c r="H8" s="8" t="s">
        <v>71</v>
      </c>
      <c r="I8" s="14" t="n">
        <f aca="false">DATE(2026,7,21)-B8</f>
        <v>-15</v>
      </c>
    </row>
    <row r="9" customFormat="false" ht="15" hidden="false" customHeight="false" outlineLevel="0" collapsed="false">
      <c r="B9" s="13" t="n">
        <v>46243</v>
      </c>
      <c r="C9" s="8" t="s">
        <v>105</v>
      </c>
      <c r="D9" s="8" t="s">
        <v>106</v>
      </c>
      <c r="E9" s="8" t="s">
        <v>13</v>
      </c>
      <c r="F9" s="8" t="s">
        <v>281</v>
      </c>
      <c r="G9" s="8" t="s">
        <v>277</v>
      </c>
      <c r="H9" s="8" t="s">
        <v>38</v>
      </c>
      <c r="I9" s="14" t="n">
        <f aca="false">DATE(2026,7,21)-B9</f>
        <v>-19</v>
      </c>
    </row>
    <row r="10" customFormat="false" ht="15" hidden="false" customHeight="false" outlineLevel="0" collapsed="false">
      <c r="B10" s="13" t="n">
        <v>46247</v>
      </c>
      <c r="C10" s="8" t="s">
        <v>103</v>
      </c>
      <c r="D10" s="8" t="s">
        <v>104</v>
      </c>
      <c r="E10" s="8" t="s">
        <v>13</v>
      </c>
      <c r="F10" s="8" t="s">
        <v>281</v>
      </c>
      <c r="G10" s="8" t="s">
        <v>277</v>
      </c>
      <c r="H10" s="8" t="s">
        <v>51</v>
      </c>
      <c r="I10" s="14" t="n">
        <f aca="false">DATE(2026,7,21)-B10</f>
        <v>-23</v>
      </c>
    </row>
    <row r="11" customFormat="false" ht="15" hidden="false" customHeight="false" outlineLevel="0" collapsed="false">
      <c r="B11" s="13" t="n">
        <v>46254</v>
      </c>
      <c r="C11" s="8" t="s">
        <v>78</v>
      </c>
      <c r="D11" s="8" t="s">
        <v>79</v>
      </c>
      <c r="E11" s="8" t="s">
        <v>13</v>
      </c>
      <c r="F11" s="8" t="s">
        <v>276</v>
      </c>
      <c r="G11" s="8" t="s">
        <v>280</v>
      </c>
      <c r="H11" s="8" t="s">
        <v>38</v>
      </c>
      <c r="I11" s="14" t="n">
        <f aca="false">DATE(2026,7,21)-B11</f>
        <v>-30</v>
      </c>
    </row>
    <row r="12" customFormat="false" ht="15" hidden="false" customHeight="false" outlineLevel="0" collapsed="false">
      <c r="B12" s="13" t="n">
        <v>46254</v>
      </c>
      <c r="C12" s="8" t="s">
        <v>78</v>
      </c>
      <c r="D12" s="8" t="s">
        <v>79</v>
      </c>
      <c r="E12" s="8" t="s">
        <v>13</v>
      </c>
      <c r="F12" s="8" t="s">
        <v>276</v>
      </c>
      <c r="G12" s="8" t="s">
        <v>277</v>
      </c>
      <c r="H12" s="8" t="s">
        <v>51</v>
      </c>
      <c r="I12" s="14" t="n">
        <f aca="false">DATE(2026,7,21)-B12</f>
        <v>-30</v>
      </c>
    </row>
    <row r="13" customFormat="false" ht="15" hidden="false" customHeight="false" outlineLevel="0" collapsed="false">
      <c r="B13" s="13" t="n">
        <v>46261</v>
      </c>
      <c r="C13" s="8" t="s">
        <v>91</v>
      </c>
      <c r="D13" s="8" t="s">
        <v>92</v>
      </c>
      <c r="E13" s="8" t="s">
        <v>19</v>
      </c>
      <c r="F13" s="8" t="s">
        <v>276</v>
      </c>
      <c r="G13" s="8" t="s">
        <v>280</v>
      </c>
      <c r="H13" s="8" t="s">
        <v>54</v>
      </c>
      <c r="I13" s="14" t="n">
        <f aca="false">DATE(2026,7,21)-B13</f>
        <v>-37</v>
      </c>
    </row>
    <row r="14" customFormat="false" ht="15" hidden="false" customHeight="false" outlineLevel="0" collapsed="false">
      <c r="B14" s="13" t="n">
        <v>46262</v>
      </c>
      <c r="C14" s="8" t="s">
        <v>109</v>
      </c>
      <c r="D14" s="8" t="s">
        <v>110</v>
      </c>
      <c r="E14" s="8" t="s">
        <v>16</v>
      </c>
      <c r="F14" s="8" t="s">
        <v>279</v>
      </c>
      <c r="G14" s="8" t="s">
        <v>277</v>
      </c>
      <c r="H14" s="8" t="s">
        <v>51</v>
      </c>
      <c r="I14" s="14" t="n">
        <f aca="false">DATE(2026,7,21)-B14</f>
        <v>-38</v>
      </c>
    </row>
    <row r="15" customFormat="false" ht="15" hidden="false" customHeight="false" outlineLevel="0" collapsed="false">
      <c r="B15" s="13" t="n">
        <v>46264</v>
      </c>
      <c r="C15" s="8" t="s">
        <v>45</v>
      </c>
      <c r="D15" s="8" t="s">
        <v>46</v>
      </c>
      <c r="E15" s="8" t="s">
        <v>16</v>
      </c>
      <c r="F15" s="8" t="s">
        <v>282</v>
      </c>
      <c r="G15" s="8" t="s">
        <v>277</v>
      </c>
      <c r="H15" s="8" t="s">
        <v>54</v>
      </c>
      <c r="I15" s="14" t="n">
        <f aca="false">DATE(2026,7,21)-B15</f>
        <v>-40</v>
      </c>
    </row>
    <row r="16" customFormat="false" ht="15" hidden="false" customHeight="false" outlineLevel="0" collapsed="false">
      <c r="B16" s="13" t="n">
        <v>46264</v>
      </c>
      <c r="C16" s="8" t="s">
        <v>52</v>
      </c>
      <c r="D16" s="8" t="s">
        <v>53</v>
      </c>
      <c r="E16" s="8" t="s">
        <v>19</v>
      </c>
      <c r="F16" s="8" t="s">
        <v>278</v>
      </c>
      <c r="G16" s="8" t="s">
        <v>280</v>
      </c>
      <c r="H16" s="8" t="s">
        <v>71</v>
      </c>
      <c r="I16" s="14" t="n">
        <f aca="false">DATE(2026,7,21)-B16</f>
        <v>-40</v>
      </c>
    </row>
    <row r="17" customFormat="false" ht="15" hidden="false" customHeight="false" outlineLevel="0" collapsed="false">
      <c r="B17" s="13" t="n">
        <v>46264</v>
      </c>
      <c r="C17" s="8" t="s">
        <v>69</v>
      </c>
      <c r="D17" s="8" t="s">
        <v>70</v>
      </c>
      <c r="E17" s="8" t="s">
        <v>13</v>
      </c>
      <c r="F17" s="8" t="s">
        <v>276</v>
      </c>
      <c r="G17" s="8" t="s">
        <v>280</v>
      </c>
      <c r="H17" s="8" t="s">
        <v>71</v>
      </c>
      <c r="I17" s="14" t="n">
        <f aca="false">DATE(2026,7,21)-B17</f>
        <v>-40</v>
      </c>
    </row>
    <row r="18" customFormat="false" ht="15" hidden="false" customHeight="false" outlineLevel="0" collapsed="false">
      <c r="B18" s="13" t="n">
        <v>46267</v>
      </c>
      <c r="C18" s="8" t="s">
        <v>41</v>
      </c>
      <c r="D18" s="8" t="s">
        <v>42</v>
      </c>
      <c r="E18" s="8" t="s">
        <v>16</v>
      </c>
      <c r="F18" s="8" t="s">
        <v>278</v>
      </c>
      <c r="G18" s="8" t="s">
        <v>277</v>
      </c>
      <c r="H18" s="8" t="s">
        <v>38</v>
      </c>
      <c r="I18" s="14" t="n">
        <f aca="false">DATE(2026,7,21)-B18</f>
        <v>-43</v>
      </c>
    </row>
    <row r="19" customFormat="false" ht="15" hidden="false" customHeight="false" outlineLevel="0" collapsed="false">
      <c r="B19" s="13" t="n">
        <v>46268</v>
      </c>
      <c r="C19" s="8" t="s">
        <v>119</v>
      </c>
      <c r="D19" s="8" t="s">
        <v>120</v>
      </c>
      <c r="E19" s="8" t="s">
        <v>16</v>
      </c>
      <c r="F19" s="8" t="s">
        <v>279</v>
      </c>
      <c r="G19" s="8" t="s">
        <v>277</v>
      </c>
      <c r="H19" s="8" t="s">
        <v>71</v>
      </c>
      <c r="I19" s="14" t="n">
        <f aca="false">DATE(2026,7,21)-B19</f>
        <v>-44</v>
      </c>
    </row>
    <row r="20" customFormat="false" ht="15" hidden="false" customHeight="false" outlineLevel="0" collapsed="false">
      <c r="B20" s="13" t="n">
        <v>46268</v>
      </c>
      <c r="C20" s="8" t="s">
        <v>119</v>
      </c>
      <c r="D20" s="8" t="s">
        <v>120</v>
      </c>
      <c r="E20" s="8" t="s">
        <v>16</v>
      </c>
      <c r="F20" s="8" t="s">
        <v>282</v>
      </c>
      <c r="G20" s="8" t="s">
        <v>280</v>
      </c>
      <c r="H20" s="8" t="s">
        <v>51</v>
      </c>
      <c r="I20" s="14" t="n">
        <f aca="false">DATE(2026,7,21)-B20</f>
        <v>-44</v>
      </c>
    </row>
  </sheetData>
  <autoFilter ref="B2:I20"/>
  <conditionalFormatting sqref="G3:G20">
    <cfRule type="cellIs" priority="2" operator="equal" aboveAverage="0" equalAverage="0" bottom="0" percent="0" rank="0" text="" dxfId="7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2026-07-22T04:13:58Z</dcterms:created>
  <dc:creator>openpyxl</dc:creator>
  <dc:description/>
  <dc:language>en-US</dc:language>
  <cp:lastModifiedBy/>
  <dcterms:modified xsi:type="dcterms:W3CDTF">2026-07-22T04:13:59Z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