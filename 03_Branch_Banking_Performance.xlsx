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ctions" sheetId="2" state="visible" r:id="rId4"/>
    <sheet name="Product_Referrals" sheetId="3" state="visible" r:id="rId5"/>
    <sheet name="Monthly_KPIs" sheetId="4" state="visible" r:id="rId6"/>
    <sheet name="Customer_Feedback" sheetId="5" state="visible" r:id="rId7"/>
  </sheets>
  <definedNames>
    <definedName function="false" hidden="true" localSheetId="4" name="_xlnm._FilterDatabase" vbProcedure="false">Customer_Feedback!$B$2:$E$72</definedName>
    <definedName function="false" hidden="false" localSheetId="0" name="_xlnm.Print_Area" vbProcedure="false">Dashboard!$B$2:$L$40</definedName>
    <definedName function="false" hidden="true" localSheetId="2" name="_xlnm._FilterDatabase" vbProcedure="false">Product_Referrals!$B$2:$G$62</definedName>
    <definedName function="false" hidden="true" localSheetId="1" name="_xlnm._FilterDatabase" vbProcedure="false">Transactions!$B$2:$H$437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<sst xmlns="http://schemas.openxmlformats.org/spreadsheetml/2006/main" count="879" uniqueCount="68">
  <si>
    <t xml:space="preserve">Branch Banking Performance &amp; Sales Analytics</t>
  </si>
  <si>
    <t xml:space="preserve">Client engagement, transaction volume, product referrals, and CSAT across branches</t>
  </si>
  <si>
    <t xml:space="preserve">TOTAL TRANSACTIONS</t>
  </si>
  <si>
    <t xml:space="preserve">TOTAL DEPOSITS</t>
  </si>
  <si>
    <t xml:space="preserve">AVG WAIT (MIN)</t>
  </si>
  <si>
    <t xml:space="preserve">TOTAL REFERRALS</t>
  </si>
  <si>
    <t xml:space="preserve">CONVERSION RATE</t>
  </si>
  <si>
    <t xml:space="preserve">AVG CSAT</t>
  </si>
  <si>
    <t xml:space="preserve">NEW ACCOUNTS (EST.)</t>
  </si>
  <si>
    <t xml:space="preserve">BRANCHES TRACKED</t>
  </si>
  <si>
    <t xml:space="preserve">Deposits by Branch</t>
  </si>
  <si>
    <t xml:space="preserve">Referrals by Product</t>
  </si>
  <si>
    <t xml:space="preserve">CSAT by Month</t>
  </si>
  <si>
    <t xml:space="preserve">Bensalem Main</t>
  </si>
  <si>
    <t xml:space="preserve">Checking Account</t>
  </si>
  <si>
    <t xml:space="preserve">Feb 2026</t>
  </si>
  <si>
    <t xml:space="preserve">Neshaminy</t>
  </si>
  <si>
    <t xml:space="preserve">Savings Account</t>
  </si>
  <si>
    <t xml:space="preserve">Mar 2026</t>
  </si>
  <si>
    <t xml:space="preserve">Levittown</t>
  </si>
  <si>
    <t xml:space="preserve">CD</t>
  </si>
  <si>
    <t xml:space="preserve">Apr 2026</t>
  </si>
  <si>
    <t xml:space="preserve">Doylestown</t>
  </si>
  <si>
    <t xml:space="preserve">Credit Card</t>
  </si>
  <si>
    <t xml:space="preserve">May 2026</t>
  </si>
  <si>
    <t xml:space="preserve">Willow Grove</t>
  </si>
  <si>
    <t xml:space="preserve">Personal Loan</t>
  </si>
  <si>
    <t xml:space="preserve">Jun 2026</t>
  </si>
  <si>
    <t xml:space="preserve">Mortgage</t>
  </si>
  <si>
    <t xml:space="preserve">Jul 2026</t>
  </si>
  <si>
    <t xml:space="preserve">HELOC</t>
  </si>
  <si>
    <t xml:space="preserve">Investment Account</t>
  </si>
  <si>
    <t xml:space="preserve">Note: KPIs and monthly rollups are live Excel formulas (SUMIF/SUMPRODUCT/AVERAGEIFS). New accounts = estimated 1.2% of transaction volume. Sample data.</t>
  </si>
  <si>
    <t xml:space="preserve">Date</t>
  </si>
  <si>
    <t xml:space="preserve">Branch</t>
  </si>
  <si>
    <t xml:space="preserve">Transaction Volume</t>
  </si>
  <si>
    <t xml:space="preserve">Deposits ($)</t>
  </si>
  <si>
    <t xml:space="preserve">Withdrawals ($)</t>
  </si>
  <si>
    <t xml:space="preserve">Avg Wait (min)</t>
  </si>
  <si>
    <t xml:space="preserve">Net Deposit ($)</t>
  </si>
  <si>
    <t xml:space="preserve">Employee</t>
  </si>
  <si>
    <t xml:space="preserve">Product</t>
  </si>
  <si>
    <t xml:space="preserve">Status</t>
  </si>
  <si>
    <t xml:space="preserve">Converted (1/0)</t>
  </si>
  <si>
    <t xml:space="preserve">L. Park</t>
  </si>
  <si>
    <t xml:space="preserve">Pending</t>
  </si>
  <si>
    <t xml:space="preserve">K. Osei</t>
  </si>
  <si>
    <t xml:space="preserve">Converted</t>
  </si>
  <si>
    <t xml:space="preserve">S. Patel</t>
  </si>
  <si>
    <t xml:space="preserve">J. Novak</t>
  </si>
  <si>
    <t xml:space="preserve">M. Chen</t>
  </si>
  <si>
    <t xml:space="preserve">Declined</t>
  </si>
  <si>
    <t xml:space="preserve">A. Rivera</t>
  </si>
  <si>
    <t xml:space="preserve">D. Brown</t>
  </si>
  <si>
    <t xml:space="preserve">Monthly Branch KPIs (rolling 6 months)</t>
  </si>
  <si>
    <t xml:space="preserve">Month</t>
  </si>
  <si>
    <t xml:space="preserve">Transactions</t>
  </si>
  <si>
    <t xml:space="preserve">New Accounts</t>
  </si>
  <si>
    <t xml:space="preserve">Referrals</t>
  </si>
  <si>
    <t xml:space="preserve">Conversions</t>
  </si>
  <si>
    <t xml:space="preserve">Conv. Rate</t>
  </si>
  <si>
    <t xml:space="preserve">CSAT (1-5)</t>
  </si>
  <si>
    <t xml:space="preserve">Category</t>
  </si>
  <si>
    <t xml:space="preserve">Issue Resolution</t>
  </si>
  <si>
    <t xml:space="preserve">Staff Friendliness</t>
  </si>
  <si>
    <t xml:space="preserve">Wait Time</t>
  </si>
  <si>
    <t xml:space="preserve">Digital Banking</t>
  </si>
  <si>
    <t xml:space="preserve">Product Knowledge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</si>
</sst>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"/>
    <numFmt numFmtId="167" formatCode="0.0"/>
    <numFmt numFmtId="168" formatCode="0.0%"/>
    <numFmt numFmtId="169" formatCode="0.00"/>
    <numFmt numFmtId="170" formatCode="0"/>
    <numFmt numFmtId="171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sz val="10"/>
      <color rgb="FF7A7974"/>
      <name val="Calibri"/>
      <family val="0"/>
      <charset val="1"/>
    </font>
    <font>
      <b val="true"/>
      <sz val="9"/>
      <color rgb="FF7A7974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sz val="10"/>
      <color rgb="FF28251D"/>
      <name val="Calibri"/>
      <family val="0"/>
      <charset val="1"/>
    </font>
    <font>
      <sz val="9"/>
      <color rgb="FF7A797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  <fill>
      <patternFill patternType="solid">
        <fgColor rgb="FF1F3864"/>
        <bgColor rgb="FF3333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/>
      <diagonal/>
    </border>
    <border diagonalUp="false" diagonalDown="false">
      <left style="thin">
        <color rgb="FFD4D1CA"/>
      </left>
      <right style="thin">
        <color rgb="FFD4D1CA"/>
      </right>
      <top/>
      <bottom/>
      <diagonal/>
    </border>
    <border diagonalUp="false" diagonalDown="false">
      <left style="thin">
        <color rgb="FFD4D1CA"/>
      </left>
      <right style="thin">
        <color rgb="FFD4D1CA"/>
      </right>
      <top/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7BF7B"/>
          <bgColor rgb="FF000000"/>
        </patternFill>
      </fill>
    </dxf>
    <dxf>
      <fill>
        <patternFill patternType="solid">
          <fgColor rgb="FF6CC07B"/>
          <bgColor rgb="FF000000"/>
        </patternFill>
      </fill>
    </dxf>
    <dxf>
      <fill>
        <patternFill patternType="solid">
          <fgColor rgb="FF71C27B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ill>
        <patternFill patternType="solid">
          <fgColor rgb="FF7AC47C"/>
          <bgColor rgb="FF000000"/>
        </patternFill>
      </fill>
    </dxf>
    <dxf>
      <fill>
        <patternFill patternType="solid">
          <fgColor rgb="FF7FC67C"/>
          <bgColor rgb="FF000000"/>
        </patternFill>
      </fill>
    </dxf>
    <dxf>
      <fill>
        <patternFill patternType="solid">
          <fgColor rgb="FF84C77C"/>
          <bgColor rgb="FF000000"/>
        </patternFill>
      </fill>
    </dxf>
    <dxf>
      <fill>
        <patternFill patternType="solid">
          <fgColor rgb="FF88C87D"/>
          <bgColor rgb="FF000000"/>
        </patternFill>
      </fill>
    </dxf>
    <dxf>
      <fill>
        <patternFill patternType="solid">
          <fgColor rgb="FF8DCA7D"/>
          <bgColor rgb="FF000000"/>
        </patternFill>
      </fill>
    </dxf>
    <dxf>
      <fill>
        <patternFill patternType="solid">
          <fgColor rgb="FF92CB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BCE7E"/>
          <bgColor rgb="FF000000"/>
        </patternFill>
      </fill>
    </dxf>
    <dxf>
      <fill>
        <patternFill patternType="solid">
          <fgColor rgb="FFA0CF7E"/>
          <bgColor rgb="FF000000"/>
        </patternFill>
      </fill>
    </dxf>
    <dxf>
      <fill>
        <patternFill patternType="solid">
          <fgColor rgb="FFA5D17E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ED37F"/>
          <bgColor rgb="FF000000"/>
        </patternFill>
      </fill>
    </dxf>
    <dxf>
      <fill>
        <patternFill patternType="solid">
          <fgColor rgb="FFB3D57F"/>
          <bgColor rgb="FF000000"/>
        </patternFill>
      </fill>
    </dxf>
    <dxf>
      <fill>
        <patternFill patternType="solid">
          <fgColor rgb="FFB8D67F"/>
          <bgColor rgb="FF000000"/>
        </patternFill>
      </fill>
    </dxf>
    <dxf>
      <fill>
        <patternFill patternType="solid">
          <fgColor rgb="FFBCD780"/>
          <bgColor rgb="FF000000"/>
        </patternFill>
      </fill>
    </dxf>
    <dxf>
      <fill>
        <patternFill patternType="solid">
          <fgColor rgb="FFC1D980"/>
          <bgColor rgb="FF000000"/>
        </patternFill>
      </fill>
    </dxf>
    <dxf>
      <fill>
        <patternFill patternType="solid">
          <fgColor rgb="FFC6DA80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FDD81"/>
          <bgColor rgb="FF000000"/>
        </patternFill>
      </fill>
    </dxf>
    <dxf>
      <fill>
        <patternFill patternType="solid">
          <fgColor rgb="FFD4DE81"/>
          <bgColor rgb="FF000000"/>
        </patternFill>
      </fill>
    </dxf>
    <dxf>
      <fill>
        <patternFill patternType="solid">
          <fgColor rgb="FFD9E081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2E282"/>
          <bgColor rgb="FF000000"/>
        </patternFill>
      </fill>
    </dxf>
    <dxf>
      <fill>
        <patternFill patternType="solid">
          <fgColor rgb="FFE7E482"/>
          <bgColor rgb="FF000000"/>
        </patternFill>
      </fill>
    </dxf>
    <dxf>
      <fill>
        <patternFill patternType="solid">
          <fgColor rgb="FFECE582"/>
          <bgColor rgb="FF000000"/>
        </patternFill>
      </fill>
    </dxf>
    <dxf>
      <fill>
        <patternFill patternType="solid">
          <fgColor rgb="FFF0E683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6D6C"/>
          <bgColor rgb="FF000000"/>
        </patternFill>
      </fill>
    </dxf>
    <dxf>
      <fill>
        <patternFill patternType="solid">
          <fgColor rgb="FFF9716D"/>
          <bgColor rgb="FF000000"/>
        </patternFill>
      </fill>
    </dxf>
    <dxf>
      <fill>
        <patternFill patternType="solid">
          <fgColor rgb="FFF9746E"/>
          <bgColor rgb="FF000000"/>
        </patternFill>
      </fill>
    </dxf>
    <dxf>
      <fill>
        <patternFill patternType="solid">
          <fgColor rgb="FFF9786E"/>
          <bgColor rgb="FF000000"/>
        </patternFill>
      </fill>
    </dxf>
    <dxf>
      <fill>
        <patternFill patternType="solid">
          <fgColor rgb="FFF97B6F"/>
          <bgColor rgb="FF000000"/>
        </patternFill>
      </fill>
    </dxf>
    <dxf>
      <fill>
        <patternFill patternType="solid">
          <fgColor rgb="FFFA7F70"/>
          <bgColor rgb="FF000000"/>
        </patternFill>
      </fill>
    </dxf>
    <dxf>
      <fill>
        <patternFill patternType="solid">
          <fgColor rgb="FFFA8270"/>
          <bgColor rgb="FF000000"/>
        </patternFill>
      </fill>
    </dxf>
    <dxf>
      <fill>
        <patternFill patternType="solid">
          <fgColor rgb="FFFA8671"/>
          <bgColor rgb="FF000000"/>
        </patternFill>
      </fill>
    </dxf>
    <dxf>
      <fill>
        <patternFill patternType="solid">
          <fgColor rgb="FFFA8972"/>
          <bgColor rgb="FF000000"/>
        </patternFill>
      </fill>
    </dxf>
    <dxf>
      <fill>
        <patternFill patternType="solid">
          <fgColor rgb="FFFA8D72"/>
          <bgColor rgb="FF000000"/>
        </patternFill>
      </fill>
    </dxf>
    <dxf>
      <fill>
        <patternFill patternType="solid">
          <fgColor rgb="FFFAE983"/>
          <bgColor rgb="FF000000"/>
        </patternFill>
      </fill>
    </dxf>
    <dxf>
      <fill>
        <patternFill patternType="solid">
          <fgColor rgb="FFFB9073"/>
          <bgColor rgb="FF000000"/>
        </patternFill>
      </fill>
    </dxf>
    <dxf>
      <fill>
        <patternFill patternType="solid">
          <fgColor rgb="FFFB9474"/>
          <bgColor rgb="FF000000"/>
        </patternFill>
      </fill>
    </dxf>
    <dxf>
      <fill>
        <patternFill patternType="solid">
          <fgColor rgb="FFFB9774"/>
          <bgColor rgb="FF000000"/>
        </patternFill>
      </fill>
    </dxf>
    <dxf>
      <fill>
        <patternFill patternType="solid">
          <fgColor rgb="FFFB9B75"/>
          <bgColor rgb="FF000000"/>
        </patternFill>
      </fill>
    </dxf>
    <dxf>
      <fill>
        <patternFill patternType="solid">
          <fgColor rgb="FFFB9E76"/>
          <bgColor rgb="FF000000"/>
        </patternFill>
      </fill>
    </dxf>
    <dxf>
      <fill>
        <patternFill patternType="solid">
          <fgColor rgb="FFFCA276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CA978"/>
          <bgColor rgb="FF000000"/>
        </patternFill>
      </fill>
    </dxf>
    <dxf>
      <fill>
        <patternFill patternType="solid">
          <fgColor rgb="FFFCAC78"/>
          <bgColor rgb="FF000000"/>
        </patternFill>
      </fill>
    </dxf>
    <dxf>
      <fill>
        <patternFill patternType="solid">
          <fgColor rgb="FFFCB079"/>
          <bgColor rgb="FF000000"/>
        </patternFill>
      </fill>
    </dxf>
    <dxf>
      <fill>
        <patternFill patternType="solid">
          <fgColor rgb="FFFCB37A"/>
          <bgColor rgb="FF000000"/>
        </patternFill>
      </fill>
    </dxf>
    <dxf>
      <fill>
        <patternFill patternType="solid">
          <fgColor rgb="FFFDB77A"/>
          <bgColor rgb="FF000000"/>
        </patternFill>
      </fill>
    </dxf>
    <dxf>
      <fill>
        <patternFill patternType="solid">
          <fgColor rgb="FFFDBA7B"/>
          <bgColor rgb="FF000000"/>
        </patternFill>
      </fill>
    </dxf>
    <dxf>
      <fill>
        <patternFill patternType="solid">
          <fgColor rgb="FFFDBE7C"/>
          <bgColor rgb="FF000000"/>
        </patternFill>
      </fill>
    </dxf>
    <dxf>
      <fill>
        <patternFill patternType="solid">
          <fgColor rgb="FFFDC17C"/>
          <bgColor rgb="FF000000"/>
        </patternFill>
      </fill>
    </dxf>
    <dxf>
      <fill>
        <patternFill patternType="solid">
          <fgColor rgb="FFFDC57D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ECC7E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ED380"/>
          <bgColor rgb="FF000000"/>
        </patternFill>
      </fill>
    </dxf>
    <dxf>
      <fill>
        <patternFill patternType="solid">
          <fgColor rgb="FFFED680"/>
          <bgColor rgb="FF000000"/>
        </patternFill>
      </fill>
    </dxf>
    <dxf>
      <fill>
        <patternFill patternType="solid">
          <fgColor rgb="FFFFDA81"/>
          <bgColor rgb="FF000000"/>
        </patternFill>
      </fill>
    </dxf>
    <dxf>
      <fill>
        <patternFill patternType="solid">
          <fgColor rgb="FFFFDD82"/>
          <bgColor rgb="FF000000"/>
        </patternFill>
      </fill>
    </dxf>
    <dxf>
      <fill>
        <patternFill patternType="solid">
          <fgColor rgb="FFFFE182"/>
          <bgColor rgb="FF000000"/>
        </patternFill>
      </fill>
    </dxf>
    <dxf>
      <fill>
        <patternFill patternType="solid">
          <fgColor rgb="FFFFE483"/>
          <bgColor rgb="FF000000"/>
        </patternFill>
      </fill>
    </dxf>
    <dxf>
      <fill>
        <patternFill patternType="solid">
          <fgColor rgb="FFFFE8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993366"/>
      <rgbColor rgb="FFEEF2F7"/>
      <rgbColor rgb="FFBCE2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7A7974"/>
      <rgbColor rgb="FF969696"/>
      <rgbColor rgb="FF1F3864"/>
      <rgbColor rgb="FF339966"/>
      <rgbColor rgb="FF003300"/>
      <rgbColor rgb="FF333300"/>
      <rgbColor rgb="FFA84B2F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Deposits by Branch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0808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Dashboard!$C$15:$C$19</c:f>
              <c:strCache>
                <c:ptCount val="5"/>
                <c:pt idx="0">
                  <c:v>Bensalem Main</c:v>
                </c:pt>
                <c:pt idx="1">
                  <c:v>Neshaminy</c:v>
                </c:pt>
                <c:pt idx="2">
                  <c:v>Levittown</c:v>
                </c:pt>
                <c:pt idx="3">
                  <c:v>Doylestown</c:v>
                </c:pt>
                <c:pt idx="4">
                  <c:v>Willow Grove</c:v>
                </c:pt>
              </c:strCache>
            </c:strRef>
          </c:cat>
          <c:val>
            <c:numRef>
              <c:f>Dashboard!$D$15:$D$19</c:f>
              <c:numCache>
                <c:formatCode>\$#,##0</c:formatCode>
                <c:ptCount val="5"/>
                <c:pt idx="0">
                  <c:v>14054329</c:v>
                </c:pt>
                <c:pt idx="1">
                  <c:v>15245482</c:v>
                </c:pt>
                <c:pt idx="2">
                  <c:v>14137585</c:v>
                </c:pt>
                <c:pt idx="3">
                  <c:v>14809111</c:v>
                </c:pt>
                <c:pt idx="4">
                  <c:v>14607838</c:v>
                </c:pt>
              </c:numCache>
            </c:numRef>
          </c:val>
        </c:ser>
        <c:gapWidth val="150"/>
        <c:overlap val="0"/>
        <c:axId val="22972688"/>
        <c:axId val="58658367"/>
      </c:barChart>
      <c:catAx>
        <c:axId val="2297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658367"/>
        <c:crosses val="autoZero"/>
        <c:auto val="1"/>
        <c:lblAlgn val="ctr"/>
        <c:lblOffset val="100"/>
        <c:noMultiLvlLbl val="0"/>
      </c:catAx>
      <c:valAx>
        <c:axId val="58658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9726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Referrals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A84B2F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Dashboard!$F$15:$F$22</c:f>
              <c:strCache>
                <c:ptCount val="8"/>
                <c:pt idx="0">
                  <c:v>Checking Account</c:v>
                </c:pt>
                <c:pt idx="1">
                  <c:v>Savings Account</c:v>
                </c:pt>
                <c:pt idx="2">
                  <c:v>CD</c:v>
                </c:pt>
                <c:pt idx="3">
                  <c:v>Credit Card</c:v>
                </c:pt>
                <c:pt idx="4">
                  <c:v>Personal Loan</c:v>
                </c:pt>
                <c:pt idx="5">
                  <c:v>Mortgage</c:v>
                </c:pt>
                <c:pt idx="6">
                  <c:v>HELOC</c:v>
                </c:pt>
                <c:pt idx="7">
                  <c:v>Investment Account</c:v>
                </c:pt>
              </c:strCache>
            </c:strRef>
          </c:cat>
          <c:val>
            <c:numRef>
              <c:f>Dashboard!$G$15:$G$22</c:f>
              <c:numCache>
                <c:formatCode>0</c:formatCode>
                <c:ptCount val="8"/>
                <c:pt idx="0">
                  <c:v>5</c:v>
                </c:pt>
                <c:pt idx="1">
                  <c:v>6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</c:numCache>
            </c:numRef>
          </c:val>
        </c:ser>
        <c:gapWidth val="150"/>
        <c:overlap val="0"/>
        <c:axId val="23029555"/>
        <c:axId val="27128892"/>
      </c:barChart>
      <c:catAx>
        <c:axId val="230295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128892"/>
        <c:crosses val="autoZero"/>
        <c:auto val="1"/>
        <c:lblAlgn val="ctr"/>
        <c:lblOffset val="100"/>
        <c:noMultiLvlLbl val="0"/>
      </c:catAx>
      <c:valAx>
        <c:axId val="271288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0295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Avg CSAT — Monthly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BCE2E7"/>
            </a:solidFill>
            <a:ln w="28080">
              <a:solidFill>
                <a:srgbClr val="BCE2E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Dashboard!$I$15:$I$20</c:f>
              <c:strCache>
                <c:ptCount val="6"/>
                <c:pt idx="0">
                  <c:v>Feb 2026</c:v>
                </c:pt>
                <c:pt idx="1">
                  <c:v>Mar 2026</c:v>
                </c:pt>
                <c:pt idx="2">
                  <c:v>Apr 2026</c:v>
                </c:pt>
                <c:pt idx="3">
                  <c:v>May 2026</c:v>
                </c:pt>
                <c:pt idx="4">
                  <c:v>Jun 2026</c:v>
                </c:pt>
                <c:pt idx="5">
                  <c:v>Jul 2026</c:v>
                </c:pt>
              </c:strCache>
            </c:strRef>
          </c:cat>
          <c:val>
            <c:numRef>
              <c:f>Dashboard!$J$15:$J$20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4.44444444444445</c:v>
                </c:pt>
                <c:pt idx="3">
                  <c:v>4</c:v>
                </c:pt>
                <c:pt idx="4">
                  <c:v>3.76923076923077</c:v>
                </c:pt>
                <c:pt idx="5">
                  <c:v>3.53333333333333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27954"/>
        <c:axId val="53861241"/>
      </c:lineChart>
      <c:catAx>
        <c:axId val="80279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861241"/>
        <c:crosses val="autoZero"/>
        <c:auto val="1"/>
        <c:lblAlgn val="ctr"/>
        <c:lblOffset val="100"/>
        <c:noMultiLvlLbl val="0"/>
      </c:catAx>
      <c:valAx>
        <c:axId val="53861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CSAT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79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23</xdr:row>
      <xdr:rowOff>0</xdr:rowOff>
    </xdr:from>
    <xdr:to>
      <xdr:col>3</xdr:col>
      <xdr:colOff>1548000</xdr:colOff>
      <xdr:row>36</xdr:row>
      <xdr:rowOff>43200</xdr:rowOff>
    </xdr:to>
    <xdr:graphicFrame>
      <xdr:nvGraphicFramePr>
        <xdr:cNvPr id="1" name="Chart 1"/>
        <xdr:cNvGraphicFramePr/>
      </xdr:nvGraphicFramePr>
      <xdr:xfrm>
        <a:off x="2818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7</xdr:col>
      <xdr:colOff>702000</xdr:colOff>
      <xdr:row>36</xdr:row>
      <xdr:rowOff>43200</xdr:rowOff>
    </xdr:to>
    <xdr:graphicFrame>
      <xdr:nvGraphicFramePr>
        <xdr:cNvPr id="2" name="Chart 2"/>
        <xdr:cNvGraphicFramePr/>
      </xdr:nvGraphicFramePr>
      <xdr:xfrm>
        <a:off x="493380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11</xdr:col>
      <xdr:colOff>90720</xdr:colOff>
      <xdr:row>36</xdr:row>
      <xdr:rowOff>43200</xdr:rowOff>
    </xdr:to>
    <xdr:graphicFrame>
      <xdr:nvGraphicFramePr>
        <xdr:cNvPr id="3" name="Chart 3"/>
        <xdr:cNvGraphicFramePr/>
      </xdr:nvGraphicFramePr>
      <xdr:xfrm>
        <a:off x="87400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ustomerFeedback" displayName="CustomerFeedback" ref="B2:E72" headerRowCount="1" totalsRowCount="0" totalsRowShown="0">
  <autoFilter ref="B2:E72"/>
  <tableColumns count="4">
    <tableColumn id="1" name="Date"/>
    <tableColumn id="2" name="Branch"/>
    <tableColumn id="3" name="CSAT (1-5)"/>
    <tableColumn id="4" name="Category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ProductReferrals" displayName="ProductReferrals" ref="B2:G62" headerRowCount="1" totalsRowCount="0" totalsRowShown="0">
  <autoFilter ref="B2:G62"/>
  <tableColumns count="6">
    <tableColumn id="1" name="Date"/>
    <tableColumn id="2" name="Employee"/>
    <tableColumn id="3" name="Branch"/>
    <tableColumn id="4" name="Product"/>
    <tableColumn id="5" name="Status"/>
    <tableColumn id="6" name="Converted (1/0)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ransactions" displayName="Transactions" ref="B2:H437" headerRowCount="1" totalsRowCount="0" totalsRowShown="0">
  <autoFilter ref="B2:H437"/>
  <tableColumns count="7">
    <tableColumn id="1" name="Date"/>
    <tableColumn id="2" name="Branch"/>
    <tableColumn id="3" name="Transaction Volume"/>
    <tableColumn id="4" name="Deposits ($)"/>
    <tableColumn id="5" name="Withdrawals ($)"/>
    <tableColumn id="6" name="Avg Wait (min)"/>
    <tableColumn id="7" name="Net Deposit ($)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4" min="3" style="0" width="24"/>
    <col collapsed="false" customWidth="true" hidden="false" outlineLevel="0" max="10" min="5" style="0" width="18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C5" s="3" t="s">
        <v>2</v>
      </c>
      <c r="D5" s="3"/>
      <c r="E5" s="3" t="s">
        <v>3</v>
      </c>
      <c r="F5" s="3"/>
      <c r="G5" s="3" t="s">
        <v>4</v>
      </c>
      <c r="H5" s="3"/>
      <c r="I5" s="3" t="s">
        <v>5</v>
      </c>
      <c r="J5" s="3"/>
    </row>
    <row r="6" customFormat="false" ht="15" hidden="false" customHeight="false" outlineLevel="0" collapsed="false">
      <c r="C6" s="4" t="n">
        <f aca="false">SUM(Transactions!D3:D437)</f>
        <v>67041</v>
      </c>
      <c r="D6" s="4"/>
      <c r="E6" s="5" t="n">
        <f aca="false">SUM(Transactions!E3:E437)</f>
        <v>72854345</v>
      </c>
      <c r="F6" s="5"/>
      <c r="G6" s="6" t="n">
        <f aca="false">AVERAGE(Transactions!G3:G437)</f>
        <v>5.86804597701149</v>
      </c>
      <c r="H6" s="6"/>
      <c r="I6" s="4" t="n">
        <f aca="false">COUNTA(Product_Referrals!C3:C62)</f>
        <v>60</v>
      </c>
      <c r="J6" s="4"/>
    </row>
    <row r="7" customFormat="false" ht="15" hidden="false" customHeight="false" outlineLevel="0" collapsed="false">
      <c r="C7" s="4"/>
      <c r="D7" s="4"/>
      <c r="E7" s="5"/>
      <c r="F7" s="5"/>
      <c r="G7" s="6"/>
      <c r="H7" s="6"/>
      <c r="I7" s="4"/>
      <c r="J7" s="4"/>
    </row>
    <row r="8" customFormat="false" ht="15" hidden="false" customHeight="false" outlineLevel="0" collapsed="false"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C9" s="3" t="s">
        <v>6</v>
      </c>
      <c r="D9" s="3"/>
      <c r="E9" s="3" t="s">
        <v>7</v>
      </c>
      <c r="F9" s="3"/>
      <c r="G9" s="3" t="s">
        <v>8</v>
      </c>
      <c r="H9" s="3"/>
      <c r="I9" s="3" t="s">
        <v>9</v>
      </c>
      <c r="J9" s="3"/>
    </row>
    <row r="10" customFormat="false" ht="15" hidden="false" customHeight="false" outlineLevel="0" collapsed="false">
      <c r="C10" s="8" t="n">
        <f aca="false">SUM(Product_Referrals!G3:G62)/COUNTA(Product_Referrals!C3:C62)</f>
        <v>0.233333333333333</v>
      </c>
      <c r="D10" s="8"/>
      <c r="E10" s="9" t="n">
        <f aca="false">AVERAGE(Customer_Feedback!D3:D72)</f>
        <v>3.87142857142857</v>
      </c>
      <c r="F10" s="9"/>
      <c r="G10" s="4" t="n">
        <f aca="false">ROUND(SUM(Transactions!D3:D437)*0.012,0)</f>
        <v>804</v>
      </c>
      <c r="H10" s="4"/>
      <c r="I10" s="10" t="n">
        <f aca="false">COUNTA(Transactions!C3:C437)/30</f>
        <v>14.5</v>
      </c>
      <c r="J10" s="10"/>
    </row>
    <row r="11" customFormat="false" ht="15" hidden="false" customHeight="false" outlineLevel="0" collapsed="false">
      <c r="C11" s="8"/>
      <c r="D11" s="8"/>
      <c r="E11" s="9"/>
      <c r="F11" s="9"/>
      <c r="G11" s="4"/>
      <c r="H11" s="4"/>
      <c r="I11" s="10"/>
      <c r="J11" s="10"/>
    </row>
    <row r="12" customFormat="false" ht="15" hidden="false" customHeight="false" outlineLevel="0" collapsed="false">
      <c r="C12" s="7"/>
      <c r="D12" s="7"/>
      <c r="E12" s="7"/>
      <c r="F12" s="7"/>
      <c r="G12" s="7"/>
      <c r="H12" s="7"/>
      <c r="I12" s="7"/>
      <c r="J12" s="7"/>
    </row>
    <row r="14" customFormat="false" ht="16.15" hidden="false" customHeight="false" outlineLevel="0" collapsed="false">
      <c r="C14" s="11" t="s">
        <v>10</v>
      </c>
      <c r="D14" s="11"/>
      <c r="F14" s="11" t="s">
        <v>11</v>
      </c>
      <c r="G14" s="11"/>
      <c r="I14" s="11" t="s">
        <v>12</v>
      </c>
      <c r="J14" s="11"/>
    </row>
    <row r="15" customFormat="false" ht="15" hidden="false" customHeight="false" outlineLevel="0" collapsed="false">
      <c r="C15" s="12" t="s">
        <v>13</v>
      </c>
      <c r="D15" s="13" t="n">
        <f aca="false">SUMIF(Transactions!C3:C437,C15,Transactions!E3:E437)</f>
        <v>14054329</v>
      </c>
      <c r="F15" s="12" t="s">
        <v>14</v>
      </c>
      <c r="G15" s="14" t="n">
        <f aca="false">COUNTIF(Product_Referrals!E3:E62,F15)</f>
        <v>5</v>
      </c>
      <c r="I15" s="12" t="s">
        <v>15</v>
      </c>
      <c r="J15" s="15" t="n">
        <f aca="false">IFERROR(AVERAGEIFS(Customer_Feedback!D3:D72,Customer_Feedback!B3:B72,"&gt;="&amp;DATE(2026,2,1),Customer_Feedback!B3:B72,"&lt;"&amp;DATE(2026,3,1)),0)</f>
        <v>0</v>
      </c>
    </row>
    <row r="16" customFormat="false" ht="15" hidden="false" customHeight="false" outlineLevel="0" collapsed="false">
      <c r="C16" s="12" t="s">
        <v>16</v>
      </c>
      <c r="D16" s="13" t="n">
        <f aca="false">SUMIF(Transactions!C3:C437,C16,Transactions!E3:E437)</f>
        <v>15245482</v>
      </c>
      <c r="F16" s="12" t="s">
        <v>17</v>
      </c>
      <c r="G16" s="14" t="n">
        <f aca="false">COUNTIF(Product_Referrals!E3:E62,F16)</f>
        <v>6</v>
      </c>
      <c r="I16" s="12" t="s">
        <v>18</v>
      </c>
      <c r="J16" s="15" t="n">
        <f aca="false">IFERROR(AVERAGEIFS(Customer_Feedback!D3:D72,Customer_Feedback!B3:B72,"&gt;="&amp;DATE(2026,3,1),Customer_Feedback!B3:B72,"&lt;"&amp;DATE(2026,4,1)),0)</f>
        <v>0</v>
      </c>
    </row>
    <row r="17" customFormat="false" ht="15" hidden="false" customHeight="false" outlineLevel="0" collapsed="false">
      <c r="C17" s="12" t="s">
        <v>19</v>
      </c>
      <c r="D17" s="13" t="n">
        <f aca="false">SUMIF(Transactions!C3:C437,C17,Transactions!E3:E437)</f>
        <v>14137585</v>
      </c>
      <c r="F17" s="12" t="s">
        <v>20</v>
      </c>
      <c r="G17" s="14" t="n">
        <f aca="false">COUNTIF(Product_Referrals!E3:E62,F17)</f>
        <v>10</v>
      </c>
      <c r="I17" s="12" t="s">
        <v>21</v>
      </c>
      <c r="J17" s="15" t="n">
        <f aca="false">IFERROR(AVERAGEIFS(Customer_Feedback!D3:D72,Customer_Feedback!B3:B72,"&gt;="&amp;DATE(2026,4,1),Customer_Feedback!B3:B72,"&lt;"&amp;DATE(2026,5,1)),0)</f>
        <v>4.44444444444445</v>
      </c>
    </row>
    <row r="18" customFormat="false" ht="15" hidden="false" customHeight="false" outlineLevel="0" collapsed="false">
      <c r="C18" s="12" t="s">
        <v>22</v>
      </c>
      <c r="D18" s="13" t="n">
        <f aca="false">SUMIF(Transactions!C3:C437,C18,Transactions!E3:E437)</f>
        <v>14809111</v>
      </c>
      <c r="F18" s="12" t="s">
        <v>23</v>
      </c>
      <c r="G18" s="14" t="n">
        <f aca="false">COUNTIF(Product_Referrals!E3:E62,F18)</f>
        <v>8</v>
      </c>
      <c r="I18" s="12" t="s">
        <v>24</v>
      </c>
      <c r="J18" s="15" t="n">
        <f aca="false">IFERROR(AVERAGEIFS(Customer_Feedback!D3:D72,Customer_Feedback!B3:B72,"&gt;="&amp;DATE(2026,5,1),Customer_Feedback!B3:B72,"&lt;"&amp;DATE(2026,6,1)),0)</f>
        <v>4</v>
      </c>
    </row>
    <row r="19" customFormat="false" ht="15" hidden="false" customHeight="false" outlineLevel="0" collapsed="false">
      <c r="C19" s="12" t="s">
        <v>25</v>
      </c>
      <c r="D19" s="13" t="n">
        <f aca="false">SUMIF(Transactions!C3:C437,C19,Transactions!E3:E437)</f>
        <v>14607838</v>
      </c>
      <c r="F19" s="12" t="s">
        <v>26</v>
      </c>
      <c r="G19" s="14" t="n">
        <f aca="false">COUNTIF(Product_Referrals!E3:E62,F19)</f>
        <v>8</v>
      </c>
      <c r="I19" s="12" t="s">
        <v>27</v>
      </c>
      <c r="J19" s="15" t="n">
        <f aca="false">IFERROR(AVERAGEIFS(Customer_Feedback!D3:D72,Customer_Feedback!B3:B72,"&gt;="&amp;DATE(2026,6,1),Customer_Feedback!B3:B72,"&lt;"&amp;DATE(2026,7,1)),0)</f>
        <v>3.76923076923077</v>
      </c>
    </row>
    <row r="20" customFormat="false" ht="15" hidden="false" customHeight="false" outlineLevel="0" collapsed="false">
      <c r="F20" s="12" t="s">
        <v>28</v>
      </c>
      <c r="G20" s="14" t="n">
        <f aca="false">COUNTIF(Product_Referrals!E3:E62,F20)</f>
        <v>7</v>
      </c>
      <c r="I20" s="12" t="s">
        <v>29</v>
      </c>
      <c r="J20" s="15" t="n">
        <f aca="false">IFERROR(AVERAGEIFS(Customer_Feedback!D3:D72,Customer_Feedback!B3:B72,"&gt;="&amp;DATE(2026,7,1),Customer_Feedback!B3:B72,"&lt;"&amp;DATE(2026,8,1)),0)</f>
        <v>3.53333333333333</v>
      </c>
    </row>
    <row r="21" customFormat="false" ht="15" hidden="false" customHeight="false" outlineLevel="0" collapsed="false">
      <c r="F21" s="12" t="s">
        <v>30</v>
      </c>
      <c r="G21" s="14" t="n">
        <f aca="false">COUNTIF(Product_Referrals!E3:E62,F21)</f>
        <v>7</v>
      </c>
    </row>
    <row r="22" customFormat="false" ht="15" hidden="false" customHeight="false" outlineLevel="0" collapsed="false">
      <c r="F22" s="12" t="s">
        <v>31</v>
      </c>
      <c r="G22" s="14" t="n">
        <f aca="false">COUNTIF(Product_Referrals!E3:E62,F22)</f>
        <v>9</v>
      </c>
    </row>
    <row r="40" customFormat="false" ht="15" hidden="false" customHeight="false" outlineLevel="0" collapsed="false">
      <c r="C40" s="16" t="s">
        <v>32</v>
      </c>
      <c r="D40" s="16"/>
      <c r="E40" s="16"/>
      <c r="F40" s="16"/>
      <c r="G40" s="16"/>
      <c r="H40" s="16"/>
      <c r="I40" s="16"/>
      <c r="J40" s="16"/>
      <c r="K40" s="16"/>
      <c r="L40" s="16"/>
    </row>
  </sheetData>
  <mergeCells count="30">
    <mergeCell ref="B2:J2"/>
    <mergeCell ref="B3:J3"/>
    <mergeCell ref="C5:D5"/>
    <mergeCell ref="E5:F5"/>
    <mergeCell ref="G5:H5"/>
    <mergeCell ref="I5:J5"/>
    <mergeCell ref="C6:D7"/>
    <mergeCell ref="E6:F7"/>
    <mergeCell ref="G6:H7"/>
    <mergeCell ref="I6:J7"/>
    <mergeCell ref="C8:D8"/>
    <mergeCell ref="E8:F8"/>
    <mergeCell ref="G8:H8"/>
    <mergeCell ref="I8:J8"/>
    <mergeCell ref="C9:D9"/>
    <mergeCell ref="E9:F9"/>
    <mergeCell ref="G9:H9"/>
    <mergeCell ref="I9:J9"/>
    <mergeCell ref="C10:D11"/>
    <mergeCell ref="E10:F11"/>
    <mergeCell ref="G10:H11"/>
    <mergeCell ref="I10:J11"/>
    <mergeCell ref="C12:D12"/>
    <mergeCell ref="E12:F12"/>
    <mergeCell ref="G12:H12"/>
    <mergeCell ref="I12:J12"/>
    <mergeCell ref="C14:D14"/>
    <mergeCell ref="F14:G14"/>
    <mergeCell ref="I14:J14"/>
    <mergeCell ref="C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8" min="5" style="0" width="14"/>
  </cols>
  <sheetData>
    <row r="2" customFormat="false" ht="15" hidden="false" customHeight="false" outlineLevel="0" collapsed="false">
      <c r="B2" s="17" t="s">
        <v>33</v>
      </c>
      <c r="C2" s="17" t="s">
        <v>34</v>
      </c>
      <c r="D2" s="17" t="s">
        <v>35</v>
      </c>
      <c r="E2" s="17" t="s">
        <v>36</v>
      </c>
      <c r="F2" s="17" t="s">
        <v>37</v>
      </c>
      <c r="G2" s="17" t="s">
        <v>38</v>
      </c>
      <c r="H2" s="17" t="s">
        <v>39</v>
      </c>
    </row>
    <row r="3" customFormat="false" ht="15" hidden="false" customHeight="false" outlineLevel="0" collapsed="false">
      <c r="B3" s="18" t="n">
        <v>46104</v>
      </c>
      <c r="C3" s="12" t="s">
        <v>13</v>
      </c>
      <c r="D3" s="12" t="n">
        <v>156</v>
      </c>
      <c r="E3" s="13" t="n">
        <v>156220</v>
      </c>
      <c r="F3" s="13" t="n">
        <v>108686</v>
      </c>
      <c r="G3" s="12" t="n">
        <v>7.1</v>
      </c>
      <c r="H3" s="19" t="n">
        <f aca="false">E3-F3</f>
        <v>47534</v>
      </c>
    </row>
    <row r="4" customFormat="false" ht="15" hidden="false" customHeight="false" outlineLevel="0" collapsed="false">
      <c r="B4" s="18" t="n">
        <v>46104</v>
      </c>
      <c r="C4" s="12" t="s">
        <v>16</v>
      </c>
      <c r="D4" s="12" t="n">
        <v>127</v>
      </c>
      <c r="E4" s="13" t="n">
        <v>139025</v>
      </c>
      <c r="F4" s="13" t="n">
        <v>109119</v>
      </c>
      <c r="G4" s="12" t="n">
        <v>3.4</v>
      </c>
      <c r="H4" s="19" t="n">
        <f aca="false">E4-F4</f>
        <v>29906</v>
      </c>
    </row>
    <row r="5" customFormat="false" ht="15" hidden="false" customHeight="false" outlineLevel="0" collapsed="false">
      <c r="B5" s="18" t="n">
        <v>46104</v>
      </c>
      <c r="C5" s="12" t="s">
        <v>19</v>
      </c>
      <c r="D5" s="12" t="n">
        <v>144</v>
      </c>
      <c r="E5" s="13" t="n">
        <v>157242</v>
      </c>
      <c r="F5" s="13" t="n">
        <v>67857</v>
      </c>
      <c r="G5" s="12" t="n">
        <v>5.5</v>
      </c>
      <c r="H5" s="19" t="n">
        <f aca="false">E5-F5</f>
        <v>89385</v>
      </c>
    </row>
    <row r="6" customFormat="false" ht="15" hidden="false" customHeight="false" outlineLevel="0" collapsed="false">
      <c r="B6" s="18" t="n">
        <v>46104</v>
      </c>
      <c r="C6" s="12" t="s">
        <v>22</v>
      </c>
      <c r="D6" s="12" t="n">
        <v>93</v>
      </c>
      <c r="E6" s="13" t="n">
        <v>152308</v>
      </c>
      <c r="F6" s="13" t="n">
        <v>98459</v>
      </c>
      <c r="G6" s="12" t="n">
        <v>3.1</v>
      </c>
      <c r="H6" s="19" t="n">
        <f aca="false">E6-F6</f>
        <v>53849</v>
      </c>
    </row>
    <row r="7" customFormat="false" ht="15" hidden="false" customHeight="false" outlineLevel="0" collapsed="false">
      <c r="B7" s="18" t="n">
        <v>46104</v>
      </c>
      <c r="C7" s="12" t="s">
        <v>25</v>
      </c>
      <c r="D7" s="12" t="n">
        <v>157</v>
      </c>
      <c r="E7" s="13" t="n">
        <v>198244</v>
      </c>
      <c r="F7" s="13" t="n">
        <v>174495</v>
      </c>
      <c r="G7" s="12" t="n">
        <v>9.1</v>
      </c>
      <c r="H7" s="19" t="n">
        <f aca="false">E7-F7</f>
        <v>23749</v>
      </c>
    </row>
    <row r="8" customFormat="false" ht="15" hidden="false" customHeight="false" outlineLevel="0" collapsed="false">
      <c r="B8" s="18" t="n">
        <v>46105</v>
      </c>
      <c r="C8" s="12" t="s">
        <v>13</v>
      </c>
      <c r="D8" s="12" t="n">
        <v>155</v>
      </c>
      <c r="E8" s="13" t="n">
        <v>173254</v>
      </c>
      <c r="F8" s="13" t="n">
        <v>121348</v>
      </c>
      <c r="G8" s="12" t="n">
        <v>5.9</v>
      </c>
      <c r="H8" s="19" t="n">
        <f aca="false">E8-F8</f>
        <v>51906</v>
      </c>
    </row>
    <row r="9" customFormat="false" ht="15" hidden="false" customHeight="false" outlineLevel="0" collapsed="false">
      <c r="B9" s="18" t="n">
        <v>46105</v>
      </c>
      <c r="C9" s="12" t="s">
        <v>16</v>
      </c>
      <c r="D9" s="12" t="n">
        <v>199</v>
      </c>
      <c r="E9" s="13" t="n">
        <v>255827</v>
      </c>
      <c r="F9" s="13" t="n">
        <v>155473</v>
      </c>
      <c r="G9" s="12" t="n">
        <v>8.7</v>
      </c>
      <c r="H9" s="19" t="n">
        <f aca="false">E9-F9</f>
        <v>100354</v>
      </c>
    </row>
    <row r="10" customFormat="false" ht="15" hidden="false" customHeight="false" outlineLevel="0" collapsed="false">
      <c r="B10" s="18" t="n">
        <v>46105</v>
      </c>
      <c r="C10" s="12" t="s">
        <v>19</v>
      </c>
      <c r="D10" s="12" t="n">
        <v>170</v>
      </c>
      <c r="E10" s="13" t="n">
        <v>251770</v>
      </c>
      <c r="F10" s="13" t="n">
        <v>90765</v>
      </c>
      <c r="G10" s="12" t="n">
        <v>4.9</v>
      </c>
      <c r="H10" s="19" t="n">
        <f aca="false">E10-F10</f>
        <v>161005</v>
      </c>
    </row>
    <row r="11" customFormat="false" ht="15" hidden="false" customHeight="false" outlineLevel="0" collapsed="false">
      <c r="B11" s="18" t="n">
        <v>46105</v>
      </c>
      <c r="C11" s="12" t="s">
        <v>22</v>
      </c>
      <c r="D11" s="12" t="n">
        <v>157</v>
      </c>
      <c r="E11" s="13" t="n">
        <v>197539</v>
      </c>
      <c r="F11" s="13" t="n">
        <v>95351</v>
      </c>
      <c r="G11" s="12" t="n">
        <v>5.6</v>
      </c>
      <c r="H11" s="19" t="n">
        <f aca="false">E11-F11</f>
        <v>102188</v>
      </c>
    </row>
    <row r="12" customFormat="false" ht="15" hidden="false" customHeight="false" outlineLevel="0" collapsed="false">
      <c r="B12" s="18" t="n">
        <v>46105</v>
      </c>
      <c r="C12" s="12" t="s">
        <v>25</v>
      </c>
      <c r="D12" s="12" t="n">
        <v>203</v>
      </c>
      <c r="E12" s="13" t="n">
        <v>220502</v>
      </c>
      <c r="F12" s="13" t="n">
        <v>106303</v>
      </c>
      <c r="G12" s="12" t="n">
        <v>4.6</v>
      </c>
      <c r="H12" s="19" t="n">
        <f aca="false">E12-F12</f>
        <v>114199</v>
      </c>
    </row>
    <row r="13" customFormat="false" ht="15" hidden="false" customHeight="false" outlineLevel="0" collapsed="false">
      <c r="B13" s="18" t="n">
        <v>46106</v>
      </c>
      <c r="C13" s="12" t="s">
        <v>13</v>
      </c>
      <c r="D13" s="12" t="n">
        <v>135</v>
      </c>
      <c r="E13" s="13" t="n">
        <v>217020</v>
      </c>
      <c r="F13" s="13" t="n">
        <v>153388</v>
      </c>
      <c r="G13" s="12" t="n">
        <v>4.3</v>
      </c>
      <c r="H13" s="19" t="n">
        <f aca="false">E13-F13</f>
        <v>63632</v>
      </c>
    </row>
    <row r="14" customFormat="false" ht="15" hidden="false" customHeight="false" outlineLevel="0" collapsed="false">
      <c r="B14" s="18" t="n">
        <v>46106</v>
      </c>
      <c r="C14" s="12" t="s">
        <v>16</v>
      </c>
      <c r="D14" s="12" t="n">
        <v>207</v>
      </c>
      <c r="E14" s="13" t="n">
        <v>148619</v>
      </c>
      <c r="F14" s="13" t="n">
        <v>133436</v>
      </c>
      <c r="G14" s="12" t="n">
        <v>5.3</v>
      </c>
      <c r="H14" s="19" t="n">
        <f aca="false">E14-F14</f>
        <v>15183</v>
      </c>
    </row>
    <row r="15" customFormat="false" ht="15" hidden="false" customHeight="false" outlineLevel="0" collapsed="false">
      <c r="B15" s="18" t="n">
        <v>46106</v>
      </c>
      <c r="C15" s="12" t="s">
        <v>19</v>
      </c>
      <c r="D15" s="12" t="n">
        <v>123</v>
      </c>
      <c r="E15" s="13" t="n">
        <v>231310</v>
      </c>
      <c r="F15" s="13" t="n">
        <v>188675</v>
      </c>
      <c r="G15" s="12" t="n">
        <v>6.4</v>
      </c>
      <c r="H15" s="19" t="n">
        <f aca="false">E15-F15</f>
        <v>42635</v>
      </c>
    </row>
    <row r="16" customFormat="false" ht="15" hidden="false" customHeight="false" outlineLevel="0" collapsed="false">
      <c r="B16" s="18" t="n">
        <v>46106</v>
      </c>
      <c r="C16" s="12" t="s">
        <v>22</v>
      </c>
      <c r="D16" s="12" t="n">
        <v>150</v>
      </c>
      <c r="E16" s="13" t="n">
        <v>130978</v>
      </c>
      <c r="F16" s="13" t="n">
        <v>156060</v>
      </c>
      <c r="G16" s="12" t="n">
        <v>3.4</v>
      </c>
      <c r="H16" s="19" t="n">
        <f aca="false">E16-F16</f>
        <v>-25082</v>
      </c>
    </row>
    <row r="17" customFormat="false" ht="15" hidden="false" customHeight="false" outlineLevel="0" collapsed="false">
      <c r="B17" s="18" t="n">
        <v>46106</v>
      </c>
      <c r="C17" s="12" t="s">
        <v>25</v>
      </c>
      <c r="D17" s="12" t="n">
        <v>200</v>
      </c>
      <c r="E17" s="13" t="n">
        <v>250716</v>
      </c>
      <c r="F17" s="13" t="n">
        <v>181543</v>
      </c>
      <c r="G17" s="12" t="n">
        <v>5.2</v>
      </c>
      <c r="H17" s="19" t="n">
        <f aca="false">E17-F17</f>
        <v>69173</v>
      </c>
    </row>
    <row r="18" customFormat="false" ht="15" hidden="false" customHeight="false" outlineLevel="0" collapsed="false">
      <c r="B18" s="18" t="n">
        <v>46107</v>
      </c>
      <c r="C18" s="12" t="s">
        <v>13</v>
      </c>
      <c r="D18" s="12" t="n">
        <v>198</v>
      </c>
      <c r="E18" s="13" t="n">
        <v>91326</v>
      </c>
      <c r="F18" s="13" t="n">
        <v>118957</v>
      </c>
      <c r="G18" s="12" t="n">
        <v>3.5</v>
      </c>
      <c r="H18" s="19" t="n">
        <f aca="false">E18-F18</f>
        <v>-27631</v>
      </c>
    </row>
    <row r="19" customFormat="false" ht="15" hidden="false" customHeight="false" outlineLevel="0" collapsed="false">
      <c r="B19" s="18" t="n">
        <v>46107</v>
      </c>
      <c r="C19" s="12" t="s">
        <v>16</v>
      </c>
      <c r="D19" s="12" t="n">
        <v>203</v>
      </c>
      <c r="E19" s="13" t="n">
        <v>247524</v>
      </c>
      <c r="F19" s="13" t="n">
        <v>126505</v>
      </c>
      <c r="G19" s="12" t="n">
        <v>3.6</v>
      </c>
      <c r="H19" s="19" t="n">
        <f aca="false">E19-F19</f>
        <v>121019</v>
      </c>
    </row>
    <row r="20" customFormat="false" ht="15" hidden="false" customHeight="false" outlineLevel="0" collapsed="false">
      <c r="B20" s="18" t="n">
        <v>46107</v>
      </c>
      <c r="C20" s="12" t="s">
        <v>19</v>
      </c>
      <c r="D20" s="12" t="n">
        <v>195</v>
      </c>
      <c r="E20" s="13" t="n">
        <v>145870</v>
      </c>
      <c r="F20" s="13" t="n">
        <v>151905</v>
      </c>
      <c r="G20" s="12" t="n">
        <v>3.9</v>
      </c>
      <c r="H20" s="19" t="n">
        <f aca="false">E20-F20</f>
        <v>-6035</v>
      </c>
    </row>
    <row r="21" customFormat="false" ht="15" hidden="false" customHeight="false" outlineLevel="0" collapsed="false">
      <c r="B21" s="18" t="n">
        <v>46107</v>
      </c>
      <c r="C21" s="12" t="s">
        <v>22</v>
      </c>
      <c r="D21" s="12" t="n">
        <v>185</v>
      </c>
      <c r="E21" s="13" t="n">
        <v>216407</v>
      </c>
      <c r="F21" s="13" t="n">
        <v>95915</v>
      </c>
      <c r="G21" s="12" t="n">
        <v>8.8</v>
      </c>
      <c r="H21" s="19" t="n">
        <f aca="false">E21-F21</f>
        <v>120492</v>
      </c>
    </row>
    <row r="22" customFormat="false" ht="15" hidden="false" customHeight="false" outlineLevel="0" collapsed="false">
      <c r="B22" s="18" t="n">
        <v>46107</v>
      </c>
      <c r="C22" s="12" t="s">
        <v>25</v>
      </c>
      <c r="D22" s="12" t="n">
        <v>150</v>
      </c>
      <c r="E22" s="13" t="n">
        <v>210113</v>
      </c>
      <c r="F22" s="13" t="n">
        <v>115499</v>
      </c>
      <c r="G22" s="12" t="n">
        <v>8.5</v>
      </c>
      <c r="H22" s="19" t="n">
        <f aca="false">E22-F22</f>
        <v>94614</v>
      </c>
    </row>
    <row r="23" customFormat="false" ht="15" hidden="false" customHeight="false" outlineLevel="0" collapsed="false">
      <c r="B23" s="18" t="n">
        <v>46108</v>
      </c>
      <c r="C23" s="12" t="s">
        <v>13</v>
      </c>
      <c r="D23" s="12" t="n">
        <v>100</v>
      </c>
      <c r="E23" s="13" t="n">
        <v>232272</v>
      </c>
      <c r="F23" s="13" t="n">
        <v>70131</v>
      </c>
      <c r="G23" s="12" t="n">
        <v>5</v>
      </c>
      <c r="H23" s="19" t="n">
        <f aca="false">E23-F23</f>
        <v>162141</v>
      </c>
    </row>
    <row r="24" customFormat="false" ht="15" hidden="false" customHeight="false" outlineLevel="0" collapsed="false">
      <c r="B24" s="18" t="n">
        <v>46108</v>
      </c>
      <c r="C24" s="12" t="s">
        <v>16</v>
      </c>
      <c r="D24" s="12" t="n">
        <v>177</v>
      </c>
      <c r="E24" s="13" t="n">
        <v>127749</v>
      </c>
      <c r="F24" s="13" t="n">
        <v>137417</v>
      </c>
      <c r="G24" s="12" t="n">
        <v>3.9</v>
      </c>
      <c r="H24" s="19" t="n">
        <f aca="false">E24-F24</f>
        <v>-9668</v>
      </c>
    </row>
    <row r="25" customFormat="false" ht="15" hidden="false" customHeight="false" outlineLevel="0" collapsed="false">
      <c r="B25" s="18" t="n">
        <v>46108</v>
      </c>
      <c r="C25" s="12" t="s">
        <v>19</v>
      </c>
      <c r="D25" s="12" t="n">
        <v>118</v>
      </c>
      <c r="E25" s="13" t="n">
        <v>139128</v>
      </c>
      <c r="F25" s="13" t="n">
        <v>103864</v>
      </c>
      <c r="G25" s="12" t="n">
        <v>3</v>
      </c>
      <c r="H25" s="19" t="n">
        <f aca="false">E25-F25</f>
        <v>35264</v>
      </c>
    </row>
    <row r="26" customFormat="false" ht="15" hidden="false" customHeight="false" outlineLevel="0" collapsed="false">
      <c r="B26" s="18" t="n">
        <v>46108</v>
      </c>
      <c r="C26" s="12" t="s">
        <v>22</v>
      </c>
      <c r="D26" s="12" t="n">
        <v>99</v>
      </c>
      <c r="E26" s="13" t="n">
        <v>195236</v>
      </c>
      <c r="F26" s="13" t="n">
        <v>149930</v>
      </c>
      <c r="G26" s="12" t="n">
        <v>7</v>
      </c>
      <c r="H26" s="19" t="n">
        <f aca="false">E26-F26</f>
        <v>45306</v>
      </c>
    </row>
    <row r="27" customFormat="false" ht="15" hidden="false" customHeight="false" outlineLevel="0" collapsed="false">
      <c r="B27" s="18" t="n">
        <v>46108</v>
      </c>
      <c r="C27" s="12" t="s">
        <v>25</v>
      </c>
      <c r="D27" s="12" t="n">
        <v>90</v>
      </c>
      <c r="E27" s="13" t="n">
        <v>113157</v>
      </c>
      <c r="F27" s="13" t="n">
        <v>141418</v>
      </c>
      <c r="G27" s="12" t="n">
        <v>3.4</v>
      </c>
      <c r="H27" s="19" t="n">
        <f aca="false">E27-F27</f>
        <v>-28261</v>
      </c>
    </row>
    <row r="28" customFormat="false" ht="15" hidden="false" customHeight="false" outlineLevel="0" collapsed="false">
      <c r="B28" s="18" t="n">
        <v>46111</v>
      </c>
      <c r="C28" s="12" t="s">
        <v>13</v>
      </c>
      <c r="D28" s="12" t="n">
        <v>167</v>
      </c>
      <c r="E28" s="13" t="n">
        <v>150502</v>
      </c>
      <c r="F28" s="13" t="n">
        <v>80297</v>
      </c>
      <c r="G28" s="12" t="n">
        <v>9.1</v>
      </c>
      <c r="H28" s="19" t="n">
        <f aca="false">E28-F28</f>
        <v>70205</v>
      </c>
    </row>
    <row r="29" customFormat="false" ht="15" hidden="false" customHeight="false" outlineLevel="0" collapsed="false">
      <c r="B29" s="18" t="n">
        <v>46111</v>
      </c>
      <c r="C29" s="12" t="s">
        <v>16</v>
      </c>
      <c r="D29" s="12" t="n">
        <v>183</v>
      </c>
      <c r="E29" s="13" t="n">
        <v>89380</v>
      </c>
      <c r="F29" s="13" t="n">
        <v>61498</v>
      </c>
      <c r="G29" s="12" t="n">
        <v>4.7</v>
      </c>
      <c r="H29" s="19" t="n">
        <f aca="false">E29-F29</f>
        <v>27882</v>
      </c>
    </row>
    <row r="30" customFormat="false" ht="15" hidden="false" customHeight="false" outlineLevel="0" collapsed="false">
      <c r="B30" s="18" t="n">
        <v>46111</v>
      </c>
      <c r="C30" s="12" t="s">
        <v>19</v>
      </c>
      <c r="D30" s="12" t="n">
        <v>129</v>
      </c>
      <c r="E30" s="13" t="n">
        <v>210169</v>
      </c>
      <c r="F30" s="13" t="n">
        <v>199661</v>
      </c>
      <c r="G30" s="12" t="n">
        <v>6.1</v>
      </c>
      <c r="H30" s="19" t="n">
        <f aca="false">E30-F30</f>
        <v>10508</v>
      </c>
    </row>
    <row r="31" customFormat="false" ht="15" hidden="false" customHeight="false" outlineLevel="0" collapsed="false">
      <c r="B31" s="18" t="n">
        <v>46111</v>
      </c>
      <c r="C31" s="12" t="s">
        <v>22</v>
      </c>
      <c r="D31" s="12" t="n">
        <v>211</v>
      </c>
      <c r="E31" s="13" t="n">
        <v>138471</v>
      </c>
      <c r="F31" s="13" t="n">
        <v>114323</v>
      </c>
      <c r="G31" s="12" t="n">
        <v>4.6</v>
      </c>
      <c r="H31" s="19" t="n">
        <f aca="false">E31-F31</f>
        <v>24148</v>
      </c>
    </row>
    <row r="32" customFormat="false" ht="15" hidden="false" customHeight="false" outlineLevel="0" collapsed="false">
      <c r="B32" s="18" t="n">
        <v>46111</v>
      </c>
      <c r="C32" s="12" t="s">
        <v>25</v>
      </c>
      <c r="D32" s="12" t="n">
        <v>98</v>
      </c>
      <c r="E32" s="13" t="n">
        <v>178610</v>
      </c>
      <c r="F32" s="13" t="n">
        <v>191432</v>
      </c>
      <c r="G32" s="12" t="n">
        <v>7.5</v>
      </c>
      <c r="H32" s="19" t="n">
        <f aca="false">E32-F32</f>
        <v>-12822</v>
      </c>
    </row>
    <row r="33" customFormat="false" ht="15" hidden="false" customHeight="false" outlineLevel="0" collapsed="false">
      <c r="B33" s="18" t="n">
        <v>46112</v>
      </c>
      <c r="C33" s="12" t="s">
        <v>13</v>
      </c>
      <c r="D33" s="12" t="n">
        <v>130</v>
      </c>
      <c r="E33" s="13" t="n">
        <v>118369</v>
      </c>
      <c r="F33" s="13" t="n">
        <v>127715</v>
      </c>
      <c r="G33" s="12" t="n">
        <v>5.5</v>
      </c>
      <c r="H33" s="19" t="n">
        <f aca="false">E33-F33</f>
        <v>-9346</v>
      </c>
    </row>
    <row r="34" customFormat="false" ht="15" hidden="false" customHeight="false" outlineLevel="0" collapsed="false">
      <c r="B34" s="18" t="n">
        <v>46112</v>
      </c>
      <c r="C34" s="12" t="s">
        <v>16</v>
      </c>
      <c r="D34" s="12" t="n">
        <v>145</v>
      </c>
      <c r="E34" s="13" t="n">
        <v>147776</v>
      </c>
      <c r="F34" s="13" t="n">
        <v>171372</v>
      </c>
      <c r="G34" s="12" t="n">
        <v>6.6</v>
      </c>
      <c r="H34" s="19" t="n">
        <f aca="false">E34-F34</f>
        <v>-23596</v>
      </c>
    </row>
    <row r="35" customFormat="false" ht="15" hidden="false" customHeight="false" outlineLevel="0" collapsed="false">
      <c r="B35" s="18" t="n">
        <v>46112</v>
      </c>
      <c r="C35" s="12" t="s">
        <v>19</v>
      </c>
      <c r="D35" s="12" t="n">
        <v>181</v>
      </c>
      <c r="E35" s="13" t="n">
        <v>144030</v>
      </c>
      <c r="F35" s="13" t="n">
        <v>135328</v>
      </c>
      <c r="G35" s="12" t="n">
        <v>5.5</v>
      </c>
      <c r="H35" s="19" t="n">
        <f aca="false">E35-F35</f>
        <v>8702</v>
      </c>
    </row>
    <row r="36" customFormat="false" ht="15" hidden="false" customHeight="false" outlineLevel="0" collapsed="false">
      <c r="B36" s="18" t="n">
        <v>46112</v>
      </c>
      <c r="C36" s="12" t="s">
        <v>22</v>
      </c>
      <c r="D36" s="12" t="n">
        <v>179</v>
      </c>
      <c r="E36" s="13" t="n">
        <v>191521</v>
      </c>
      <c r="F36" s="13" t="n">
        <v>69989</v>
      </c>
      <c r="G36" s="12" t="n">
        <v>4.7</v>
      </c>
      <c r="H36" s="19" t="n">
        <f aca="false">E36-F36</f>
        <v>121532</v>
      </c>
    </row>
    <row r="37" customFormat="false" ht="15" hidden="false" customHeight="false" outlineLevel="0" collapsed="false">
      <c r="B37" s="18" t="n">
        <v>46112</v>
      </c>
      <c r="C37" s="12" t="s">
        <v>25</v>
      </c>
      <c r="D37" s="12" t="n">
        <v>207</v>
      </c>
      <c r="E37" s="13" t="n">
        <v>102742</v>
      </c>
      <c r="F37" s="13" t="n">
        <v>77977</v>
      </c>
      <c r="G37" s="12" t="n">
        <v>7.8</v>
      </c>
      <c r="H37" s="19" t="n">
        <f aca="false">E37-F37</f>
        <v>24765</v>
      </c>
    </row>
    <row r="38" customFormat="false" ht="15" hidden="false" customHeight="false" outlineLevel="0" collapsed="false">
      <c r="B38" s="18" t="n">
        <v>46113</v>
      </c>
      <c r="C38" s="12" t="s">
        <v>13</v>
      </c>
      <c r="D38" s="12" t="n">
        <v>91</v>
      </c>
      <c r="E38" s="13" t="n">
        <v>251269</v>
      </c>
      <c r="F38" s="13" t="n">
        <v>140315</v>
      </c>
      <c r="G38" s="12" t="n">
        <v>3.8</v>
      </c>
      <c r="H38" s="19" t="n">
        <f aca="false">E38-F38</f>
        <v>110954</v>
      </c>
    </row>
    <row r="39" customFormat="false" ht="15" hidden="false" customHeight="false" outlineLevel="0" collapsed="false">
      <c r="B39" s="18" t="n">
        <v>46113</v>
      </c>
      <c r="C39" s="12" t="s">
        <v>16</v>
      </c>
      <c r="D39" s="12" t="n">
        <v>213</v>
      </c>
      <c r="E39" s="13" t="n">
        <v>225392</v>
      </c>
      <c r="F39" s="13" t="n">
        <v>162153</v>
      </c>
      <c r="G39" s="12" t="n">
        <v>4.8</v>
      </c>
      <c r="H39" s="19" t="n">
        <f aca="false">E39-F39</f>
        <v>63239</v>
      </c>
    </row>
    <row r="40" customFormat="false" ht="15" hidden="false" customHeight="false" outlineLevel="0" collapsed="false">
      <c r="B40" s="18" t="n">
        <v>46113</v>
      </c>
      <c r="C40" s="12" t="s">
        <v>19</v>
      </c>
      <c r="D40" s="12" t="n">
        <v>164</v>
      </c>
      <c r="E40" s="13" t="n">
        <v>218427</v>
      </c>
      <c r="F40" s="13" t="n">
        <v>174022</v>
      </c>
      <c r="G40" s="12" t="n">
        <v>9.2</v>
      </c>
      <c r="H40" s="19" t="n">
        <f aca="false">E40-F40</f>
        <v>44405</v>
      </c>
    </row>
    <row r="41" customFormat="false" ht="15" hidden="false" customHeight="false" outlineLevel="0" collapsed="false">
      <c r="B41" s="18" t="n">
        <v>46113</v>
      </c>
      <c r="C41" s="12" t="s">
        <v>22</v>
      </c>
      <c r="D41" s="12" t="n">
        <v>127</v>
      </c>
      <c r="E41" s="13" t="n">
        <v>93788</v>
      </c>
      <c r="F41" s="13" t="n">
        <v>89342</v>
      </c>
      <c r="G41" s="12" t="n">
        <v>5.1</v>
      </c>
      <c r="H41" s="19" t="n">
        <f aca="false">E41-F41</f>
        <v>4446</v>
      </c>
    </row>
    <row r="42" customFormat="false" ht="15" hidden="false" customHeight="false" outlineLevel="0" collapsed="false">
      <c r="B42" s="18" t="n">
        <v>46113</v>
      </c>
      <c r="C42" s="12" t="s">
        <v>25</v>
      </c>
      <c r="D42" s="12" t="n">
        <v>130</v>
      </c>
      <c r="E42" s="13" t="n">
        <v>137219</v>
      </c>
      <c r="F42" s="13" t="n">
        <v>140728</v>
      </c>
      <c r="G42" s="12" t="n">
        <v>4.6</v>
      </c>
      <c r="H42" s="19" t="n">
        <f aca="false">E42-F42</f>
        <v>-3509</v>
      </c>
    </row>
    <row r="43" customFormat="false" ht="15" hidden="false" customHeight="false" outlineLevel="0" collapsed="false">
      <c r="B43" s="18" t="n">
        <v>46114</v>
      </c>
      <c r="C43" s="12" t="s">
        <v>13</v>
      </c>
      <c r="D43" s="12" t="n">
        <v>189</v>
      </c>
      <c r="E43" s="13" t="n">
        <v>156265</v>
      </c>
      <c r="F43" s="13" t="n">
        <v>68748</v>
      </c>
      <c r="G43" s="12" t="n">
        <v>4.9</v>
      </c>
      <c r="H43" s="19" t="n">
        <f aca="false">E43-F43</f>
        <v>87517</v>
      </c>
    </row>
    <row r="44" customFormat="false" ht="15" hidden="false" customHeight="false" outlineLevel="0" collapsed="false">
      <c r="B44" s="18" t="n">
        <v>46114</v>
      </c>
      <c r="C44" s="12" t="s">
        <v>16</v>
      </c>
      <c r="D44" s="12" t="n">
        <v>115</v>
      </c>
      <c r="E44" s="13" t="n">
        <v>174640</v>
      </c>
      <c r="F44" s="13" t="n">
        <v>188686</v>
      </c>
      <c r="G44" s="12" t="n">
        <v>5.6</v>
      </c>
      <c r="H44" s="19" t="n">
        <f aca="false">E44-F44</f>
        <v>-14046</v>
      </c>
    </row>
    <row r="45" customFormat="false" ht="15" hidden="false" customHeight="false" outlineLevel="0" collapsed="false">
      <c r="B45" s="18" t="n">
        <v>46114</v>
      </c>
      <c r="C45" s="12" t="s">
        <v>19</v>
      </c>
      <c r="D45" s="12" t="n">
        <v>201</v>
      </c>
      <c r="E45" s="13" t="n">
        <v>91423</v>
      </c>
      <c r="F45" s="13" t="n">
        <v>152023</v>
      </c>
      <c r="G45" s="12" t="n">
        <v>6.2</v>
      </c>
      <c r="H45" s="19" t="n">
        <f aca="false">E45-F45</f>
        <v>-60600</v>
      </c>
    </row>
    <row r="46" customFormat="false" ht="15" hidden="false" customHeight="false" outlineLevel="0" collapsed="false">
      <c r="B46" s="18" t="n">
        <v>46114</v>
      </c>
      <c r="C46" s="12" t="s">
        <v>22</v>
      </c>
      <c r="D46" s="12" t="n">
        <v>123</v>
      </c>
      <c r="E46" s="13" t="n">
        <v>92890</v>
      </c>
      <c r="F46" s="13" t="n">
        <v>144597</v>
      </c>
      <c r="G46" s="12" t="n">
        <v>3.7</v>
      </c>
      <c r="H46" s="19" t="n">
        <f aca="false">E46-F46</f>
        <v>-51707</v>
      </c>
    </row>
    <row r="47" customFormat="false" ht="15" hidden="false" customHeight="false" outlineLevel="0" collapsed="false">
      <c r="B47" s="18" t="n">
        <v>46114</v>
      </c>
      <c r="C47" s="12" t="s">
        <v>25</v>
      </c>
      <c r="D47" s="12" t="n">
        <v>122</v>
      </c>
      <c r="E47" s="13" t="n">
        <v>81294</v>
      </c>
      <c r="F47" s="13" t="n">
        <v>125043</v>
      </c>
      <c r="G47" s="12" t="n">
        <v>8.9</v>
      </c>
      <c r="H47" s="19" t="n">
        <f aca="false">E47-F47</f>
        <v>-43749</v>
      </c>
    </row>
    <row r="48" customFormat="false" ht="15" hidden="false" customHeight="false" outlineLevel="0" collapsed="false">
      <c r="B48" s="18" t="n">
        <v>46115</v>
      </c>
      <c r="C48" s="12" t="s">
        <v>13</v>
      </c>
      <c r="D48" s="12" t="n">
        <v>128</v>
      </c>
      <c r="E48" s="13" t="n">
        <v>103510</v>
      </c>
      <c r="F48" s="13" t="n">
        <v>185547</v>
      </c>
      <c r="G48" s="12" t="n">
        <v>9</v>
      </c>
      <c r="H48" s="19" t="n">
        <f aca="false">E48-F48</f>
        <v>-82037</v>
      </c>
    </row>
    <row r="49" customFormat="false" ht="15" hidden="false" customHeight="false" outlineLevel="0" collapsed="false">
      <c r="B49" s="18" t="n">
        <v>46115</v>
      </c>
      <c r="C49" s="12" t="s">
        <v>16</v>
      </c>
      <c r="D49" s="12" t="n">
        <v>108</v>
      </c>
      <c r="E49" s="13" t="n">
        <v>170432</v>
      </c>
      <c r="F49" s="13" t="n">
        <v>129223</v>
      </c>
      <c r="G49" s="12" t="n">
        <v>8.1</v>
      </c>
      <c r="H49" s="19" t="n">
        <f aca="false">E49-F49</f>
        <v>41209</v>
      </c>
    </row>
    <row r="50" customFormat="false" ht="15" hidden="false" customHeight="false" outlineLevel="0" collapsed="false">
      <c r="B50" s="18" t="n">
        <v>46115</v>
      </c>
      <c r="C50" s="12" t="s">
        <v>19</v>
      </c>
      <c r="D50" s="12" t="n">
        <v>144</v>
      </c>
      <c r="E50" s="13" t="n">
        <v>92307</v>
      </c>
      <c r="F50" s="13" t="n">
        <v>122338</v>
      </c>
      <c r="G50" s="12" t="n">
        <v>7.2</v>
      </c>
      <c r="H50" s="19" t="n">
        <f aca="false">E50-F50</f>
        <v>-30031</v>
      </c>
    </row>
    <row r="51" customFormat="false" ht="15" hidden="false" customHeight="false" outlineLevel="0" collapsed="false">
      <c r="B51" s="18" t="n">
        <v>46115</v>
      </c>
      <c r="C51" s="12" t="s">
        <v>22</v>
      </c>
      <c r="D51" s="12" t="n">
        <v>151</v>
      </c>
      <c r="E51" s="13" t="n">
        <v>216287</v>
      </c>
      <c r="F51" s="13" t="n">
        <v>175483</v>
      </c>
      <c r="G51" s="12" t="n">
        <v>3.9</v>
      </c>
      <c r="H51" s="19" t="n">
        <f aca="false">E51-F51</f>
        <v>40804</v>
      </c>
    </row>
    <row r="52" customFormat="false" ht="15" hidden="false" customHeight="false" outlineLevel="0" collapsed="false">
      <c r="B52" s="18" t="n">
        <v>46115</v>
      </c>
      <c r="C52" s="12" t="s">
        <v>25</v>
      </c>
      <c r="D52" s="12" t="n">
        <v>190</v>
      </c>
      <c r="E52" s="13" t="n">
        <v>242687</v>
      </c>
      <c r="F52" s="13" t="n">
        <v>74214</v>
      </c>
      <c r="G52" s="12" t="n">
        <v>8.4</v>
      </c>
      <c r="H52" s="19" t="n">
        <f aca="false">E52-F52</f>
        <v>168473</v>
      </c>
    </row>
    <row r="53" customFormat="false" ht="15" hidden="false" customHeight="false" outlineLevel="0" collapsed="false">
      <c r="B53" s="18" t="n">
        <v>46118</v>
      </c>
      <c r="C53" s="12" t="s">
        <v>13</v>
      </c>
      <c r="D53" s="12" t="n">
        <v>103</v>
      </c>
      <c r="E53" s="13" t="n">
        <v>110243</v>
      </c>
      <c r="F53" s="13" t="n">
        <v>95956</v>
      </c>
      <c r="G53" s="12" t="n">
        <v>9.1</v>
      </c>
      <c r="H53" s="19" t="n">
        <f aca="false">E53-F53</f>
        <v>14287</v>
      </c>
    </row>
    <row r="54" customFormat="false" ht="15" hidden="false" customHeight="false" outlineLevel="0" collapsed="false">
      <c r="B54" s="18" t="n">
        <v>46118</v>
      </c>
      <c r="C54" s="12" t="s">
        <v>16</v>
      </c>
      <c r="D54" s="12" t="n">
        <v>184</v>
      </c>
      <c r="E54" s="13" t="n">
        <v>219878</v>
      </c>
      <c r="F54" s="13" t="n">
        <v>163953</v>
      </c>
      <c r="G54" s="12" t="n">
        <v>4.6</v>
      </c>
      <c r="H54" s="19" t="n">
        <f aca="false">E54-F54</f>
        <v>55925</v>
      </c>
    </row>
    <row r="55" customFormat="false" ht="15" hidden="false" customHeight="false" outlineLevel="0" collapsed="false">
      <c r="B55" s="18" t="n">
        <v>46118</v>
      </c>
      <c r="C55" s="12" t="s">
        <v>19</v>
      </c>
      <c r="D55" s="12" t="n">
        <v>166</v>
      </c>
      <c r="E55" s="13" t="n">
        <v>148358</v>
      </c>
      <c r="F55" s="13" t="n">
        <v>82776</v>
      </c>
      <c r="G55" s="12" t="n">
        <v>5.1</v>
      </c>
      <c r="H55" s="19" t="n">
        <f aca="false">E55-F55</f>
        <v>65582</v>
      </c>
    </row>
    <row r="56" customFormat="false" ht="15" hidden="false" customHeight="false" outlineLevel="0" collapsed="false">
      <c r="B56" s="18" t="n">
        <v>46118</v>
      </c>
      <c r="C56" s="12" t="s">
        <v>22</v>
      </c>
      <c r="D56" s="12" t="n">
        <v>97</v>
      </c>
      <c r="E56" s="13" t="n">
        <v>123786</v>
      </c>
      <c r="F56" s="13" t="n">
        <v>64084</v>
      </c>
      <c r="G56" s="12" t="n">
        <v>3.3</v>
      </c>
      <c r="H56" s="19" t="n">
        <f aca="false">E56-F56</f>
        <v>59702</v>
      </c>
    </row>
    <row r="57" customFormat="false" ht="15" hidden="false" customHeight="false" outlineLevel="0" collapsed="false">
      <c r="B57" s="18" t="n">
        <v>46118</v>
      </c>
      <c r="C57" s="12" t="s">
        <v>25</v>
      </c>
      <c r="D57" s="12" t="n">
        <v>159</v>
      </c>
      <c r="E57" s="13" t="n">
        <v>103837</v>
      </c>
      <c r="F57" s="13" t="n">
        <v>147463</v>
      </c>
      <c r="G57" s="12" t="n">
        <v>8.2</v>
      </c>
      <c r="H57" s="19" t="n">
        <f aca="false">E57-F57</f>
        <v>-43626</v>
      </c>
    </row>
    <row r="58" customFormat="false" ht="15" hidden="false" customHeight="false" outlineLevel="0" collapsed="false">
      <c r="B58" s="18" t="n">
        <v>46119</v>
      </c>
      <c r="C58" s="12" t="s">
        <v>13</v>
      </c>
      <c r="D58" s="12" t="n">
        <v>198</v>
      </c>
      <c r="E58" s="13" t="n">
        <v>122084</v>
      </c>
      <c r="F58" s="13" t="n">
        <v>136134</v>
      </c>
      <c r="G58" s="12" t="n">
        <v>8.9</v>
      </c>
      <c r="H58" s="19" t="n">
        <f aca="false">E58-F58</f>
        <v>-14050</v>
      </c>
    </row>
    <row r="59" customFormat="false" ht="15" hidden="false" customHeight="false" outlineLevel="0" collapsed="false">
      <c r="B59" s="18" t="n">
        <v>46119</v>
      </c>
      <c r="C59" s="12" t="s">
        <v>16</v>
      </c>
      <c r="D59" s="12" t="n">
        <v>100</v>
      </c>
      <c r="E59" s="13" t="n">
        <v>108682</v>
      </c>
      <c r="F59" s="13" t="n">
        <v>84817</v>
      </c>
      <c r="G59" s="12" t="n">
        <v>4.7</v>
      </c>
      <c r="H59" s="19" t="n">
        <f aca="false">E59-F59</f>
        <v>23865</v>
      </c>
    </row>
    <row r="60" customFormat="false" ht="15" hidden="false" customHeight="false" outlineLevel="0" collapsed="false">
      <c r="B60" s="18" t="n">
        <v>46119</v>
      </c>
      <c r="C60" s="12" t="s">
        <v>19</v>
      </c>
      <c r="D60" s="12" t="n">
        <v>189</v>
      </c>
      <c r="E60" s="13" t="n">
        <v>203529</v>
      </c>
      <c r="F60" s="13" t="n">
        <v>162260</v>
      </c>
      <c r="G60" s="12" t="n">
        <v>4.4</v>
      </c>
      <c r="H60" s="19" t="n">
        <f aca="false">E60-F60</f>
        <v>41269</v>
      </c>
    </row>
    <row r="61" customFormat="false" ht="15" hidden="false" customHeight="false" outlineLevel="0" collapsed="false">
      <c r="B61" s="18" t="n">
        <v>46119</v>
      </c>
      <c r="C61" s="12" t="s">
        <v>22</v>
      </c>
      <c r="D61" s="12" t="n">
        <v>128</v>
      </c>
      <c r="E61" s="13" t="n">
        <v>198013</v>
      </c>
      <c r="F61" s="13" t="n">
        <v>138885</v>
      </c>
      <c r="G61" s="12" t="n">
        <v>2.5</v>
      </c>
      <c r="H61" s="19" t="n">
        <f aca="false">E61-F61</f>
        <v>59128</v>
      </c>
    </row>
    <row r="62" customFormat="false" ht="15" hidden="false" customHeight="false" outlineLevel="0" collapsed="false">
      <c r="B62" s="18" t="n">
        <v>46119</v>
      </c>
      <c r="C62" s="12" t="s">
        <v>25</v>
      </c>
      <c r="D62" s="12" t="n">
        <v>97</v>
      </c>
      <c r="E62" s="13" t="n">
        <v>219514</v>
      </c>
      <c r="F62" s="13" t="n">
        <v>127901</v>
      </c>
      <c r="G62" s="12" t="n">
        <v>4.4</v>
      </c>
      <c r="H62" s="19" t="n">
        <f aca="false">E62-F62</f>
        <v>91613</v>
      </c>
    </row>
    <row r="63" customFormat="false" ht="15" hidden="false" customHeight="false" outlineLevel="0" collapsed="false">
      <c r="B63" s="18" t="n">
        <v>46120</v>
      </c>
      <c r="C63" s="12" t="s">
        <v>13</v>
      </c>
      <c r="D63" s="12" t="n">
        <v>147</v>
      </c>
      <c r="E63" s="13" t="n">
        <v>144828</v>
      </c>
      <c r="F63" s="13" t="n">
        <v>158299</v>
      </c>
      <c r="G63" s="12" t="n">
        <v>5.4</v>
      </c>
      <c r="H63" s="19" t="n">
        <f aca="false">E63-F63</f>
        <v>-13471</v>
      </c>
    </row>
    <row r="64" customFormat="false" ht="15" hidden="false" customHeight="false" outlineLevel="0" collapsed="false">
      <c r="B64" s="18" t="n">
        <v>46120</v>
      </c>
      <c r="C64" s="12" t="s">
        <v>16</v>
      </c>
      <c r="D64" s="12" t="n">
        <v>213</v>
      </c>
      <c r="E64" s="13" t="n">
        <v>187264</v>
      </c>
      <c r="F64" s="13" t="n">
        <v>128538</v>
      </c>
      <c r="G64" s="12" t="n">
        <v>3.6</v>
      </c>
      <c r="H64" s="19" t="n">
        <f aca="false">E64-F64</f>
        <v>58726</v>
      </c>
    </row>
    <row r="65" customFormat="false" ht="15" hidden="false" customHeight="false" outlineLevel="0" collapsed="false">
      <c r="B65" s="18" t="n">
        <v>46120</v>
      </c>
      <c r="C65" s="12" t="s">
        <v>19</v>
      </c>
      <c r="D65" s="12" t="n">
        <v>208</v>
      </c>
      <c r="E65" s="13" t="n">
        <v>130831</v>
      </c>
      <c r="F65" s="13" t="n">
        <v>158453</v>
      </c>
      <c r="G65" s="12" t="n">
        <v>7.5</v>
      </c>
      <c r="H65" s="19" t="n">
        <f aca="false">E65-F65</f>
        <v>-27622</v>
      </c>
    </row>
    <row r="66" customFormat="false" ht="15" hidden="false" customHeight="false" outlineLevel="0" collapsed="false">
      <c r="B66" s="18" t="n">
        <v>46120</v>
      </c>
      <c r="C66" s="12" t="s">
        <v>22</v>
      </c>
      <c r="D66" s="12" t="n">
        <v>138</v>
      </c>
      <c r="E66" s="13" t="n">
        <v>87617</v>
      </c>
      <c r="F66" s="13" t="n">
        <v>68963</v>
      </c>
      <c r="G66" s="12" t="n">
        <v>5.9</v>
      </c>
      <c r="H66" s="19" t="n">
        <f aca="false">E66-F66</f>
        <v>18654</v>
      </c>
    </row>
    <row r="67" customFormat="false" ht="15" hidden="false" customHeight="false" outlineLevel="0" collapsed="false">
      <c r="B67" s="18" t="n">
        <v>46120</v>
      </c>
      <c r="C67" s="12" t="s">
        <v>25</v>
      </c>
      <c r="D67" s="12" t="n">
        <v>218</v>
      </c>
      <c r="E67" s="13" t="n">
        <v>126849</v>
      </c>
      <c r="F67" s="13" t="n">
        <v>92840</v>
      </c>
      <c r="G67" s="12" t="n">
        <v>3.2</v>
      </c>
      <c r="H67" s="19" t="n">
        <f aca="false">E67-F67</f>
        <v>34009</v>
      </c>
    </row>
    <row r="68" customFormat="false" ht="15" hidden="false" customHeight="false" outlineLevel="0" collapsed="false">
      <c r="B68" s="18" t="n">
        <v>46121</v>
      </c>
      <c r="C68" s="12" t="s">
        <v>13</v>
      </c>
      <c r="D68" s="12" t="n">
        <v>124</v>
      </c>
      <c r="E68" s="13" t="n">
        <v>160550</v>
      </c>
      <c r="F68" s="13" t="n">
        <v>81146</v>
      </c>
      <c r="G68" s="12" t="n">
        <v>8.7</v>
      </c>
      <c r="H68" s="19" t="n">
        <f aca="false">E68-F68</f>
        <v>79404</v>
      </c>
    </row>
    <row r="69" customFormat="false" ht="15" hidden="false" customHeight="false" outlineLevel="0" collapsed="false">
      <c r="B69" s="18" t="n">
        <v>46121</v>
      </c>
      <c r="C69" s="12" t="s">
        <v>16</v>
      </c>
      <c r="D69" s="12" t="n">
        <v>217</v>
      </c>
      <c r="E69" s="13" t="n">
        <v>229731</v>
      </c>
      <c r="F69" s="13" t="n">
        <v>196678</v>
      </c>
      <c r="G69" s="12" t="n">
        <v>7.6</v>
      </c>
      <c r="H69" s="19" t="n">
        <f aca="false">E69-F69</f>
        <v>33053</v>
      </c>
    </row>
    <row r="70" customFormat="false" ht="15" hidden="false" customHeight="false" outlineLevel="0" collapsed="false">
      <c r="B70" s="18" t="n">
        <v>46121</v>
      </c>
      <c r="C70" s="12" t="s">
        <v>19</v>
      </c>
      <c r="D70" s="12" t="n">
        <v>104</v>
      </c>
      <c r="E70" s="13" t="n">
        <v>136177</v>
      </c>
      <c r="F70" s="13" t="n">
        <v>172313</v>
      </c>
      <c r="G70" s="12" t="n">
        <v>2.7</v>
      </c>
      <c r="H70" s="19" t="n">
        <f aca="false">E70-F70</f>
        <v>-36136</v>
      </c>
    </row>
    <row r="71" customFormat="false" ht="15" hidden="false" customHeight="false" outlineLevel="0" collapsed="false">
      <c r="B71" s="18" t="n">
        <v>46121</v>
      </c>
      <c r="C71" s="12" t="s">
        <v>22</v>
      </c>
      <c r="D71" s="12" t="n">
        <v>95</v>
      </c>
      <c r="E71" s="13" t="n">
        <v>258559</v>
      </c>
      <c r="F71" s="13" t="n">
        <v>97594</v>
      </c>
      <c r="G71" s="12" t="n">
        <v>4.6</v>
      </c>
      <c r="H71" s="19" t="n">
        <f aca="false">E71-F71</f>
        <v>160965</v>
      </c>
    </row>
    <row r="72" customFormat="false" ht="15" hidden="false" customHeight="false" outlineLevel="0" collapsed="false">
      <c r="B72" s="18" t="n">
        <v>46121</v>
      </c>
      <c r="C72" s="12" t="s">
        <v>25</v>
      </c>
      <c r="D72" s="12" t="n">
        <v>129</v>
      </c>
      <c r="E72" s="13" t="n">
        <v>250483</v>
      </c>
      <c r="F72" s="13" t="n">
        <v>74046</v>
      </c>
      <c r="G72" s="12" t="n">
        <v>7.6</v>
      </c>
      <c r="H72" s="19" t="n">
        <f aca="false">E72-F72</f>
        <v>176437</v>
      </c>
    </row>
    <row r="73" customFormat="false" ht="15" hidden="false" customHeight="false" outlineLevel="0" collapsed="false">
      <c r="B73" s="18" t="n">
        <v>46122</v>
      </c>
      <c r="C73" s="12" t="s">
        <v>13</v>
      </c>
      <c r="D73" s="12" t="n">
        <v>199</v>
      </c>
      <c r="E73" s="13" t="n">
        <v>147478</v>
      </c>
      <c r="F73" s="13" t="n">
        <v>119170</v>
      </c>
      <c r="G73" s="12" t="n">
        <v>5.9</v>
      </c>
      <c r="H73" s="19" t="n">
        <f aca="false">E73-F73</f>
        <v>28308</v>
      </c>
    </row>
    <row r="74" customFormat="false" ht="15" hidden="false" customHeight="false" outlineLevel="0" collapsed="false">
      <c r="B74" s="18" t="n">
        <v>46122</v>
      </c>
      <c r="C74" s="12" t="s">
        <v>16</v>
      </c>
      <c r="D74" s="12" t="n">
        <v>114</v>
      </c>
      <c r="E74" s="13" t="n">
        <v>143876</v>
      </c>
      <c r="F74" s="13" t="n">
        <v>142922</v>
      </c>
      <c r="G74" s="12" t="n">
        <v>6.2</v>
      </c>
      <c r="H74" s="19" t="n">
        <f aca="false">E74-F74</f>
        <v>954</v>
      </c>
    </row>
    <row r="75" customFormat="false" ht="15" hidden="false" customHeight="false" outlineLevel="0" collapsed="false">
      <c r="B75" s="18" t="n">
        <v>46122</v>
      </c>
      <c r="C75" s="12" t="s">
        <v>19</v>
      </c>
      <c r="D75" s="12" t="n">
        <v>92</v>
      </c>
      <c r="E75" s="13" t="n">
        <v>229766</v>
      </c>
      <c r="F75" s="13" t="n">
        <v>177804</v>
      </c>
      <c r="G75" s="12" t="n">
        <v>8.7</v>
      </c>
      <c r="H75" s="19" t="n">
        <f aca="false">E75-F75</f>
        <v>51962</v>
      </c>
    </row>
    <row r="76" customFormat="false" ht="15" hidden="false" customHeight="false" outlineLevel="0" collapsed="false">
      <c r="B76" s="18" t="n">
        <v>46122</v>
      </c>
      <c r="C76" s="12" t="s">
        <v>22</v>
      </c>
      <c r="D76" s="12" t="n">
        <v>177</v>
      </c>
      <c r="E76" s="13" t="n">
        <v>251166</v>
      </c>
      <c r="F76" s="13" t="n">
        <v>117787</v>
      </c>
      <c r="G76" s="12" t="n">
        <v>6.8</v>
      </c>
      <c r="H76" s="19" t="n">
        <f aca="false">E76-F76</f>
        <v>133379</v>
      </c>
    </row>
    <row r="77" customFormat="false" ht="15" hidden="false" customHeight="false" outlineLevel="0" collapsed="false">
      <c r="B77" s="18" t="n">
        <v>46122</v>
      </c>
      <c r="C77" s="12" t="s">
        <v>25</v>
      </c>
      <c r="D77" s="12" t="n">
        <v>199</v>
      </c>
      <c r="E77" s="13" t="n">
        <v>141714</v>
      </c>
      <c r="F77" s="13" t="n">
        <v>193699</v>
      </c>
      <c r="G77" s="12" t="n">
        <v>7.7</v>
      </c>
      <c r="H77" s="19" t="n">
        <f aca="false">E77-F77</f>
        <v>-51985</v>
      </c>
    </row>
    <row r="78" customFormat="false" ht="15" hidden="false" customHeight="false" outlineLevel="0" collapsed="false">
      <c r="B78" s="18" t="n">
        <v>46125</v>
      </c>
      <c r="C78" s="12" t="s">
        <v>13</v>
      </c>
      <c r="D78" s="12" t="n">
        <v>115</v>
      </c>
      <c r="E78" s="13" t="n">
        <v>176726</v>
      </c>
      <c r="F78" s="13" t="n">
        <v>98892</v>
      </c>
      <c r="G78" s="12" t="n">
        <v>9</v>
      </c>
      <c r="H78" s="19" t="n">
        <f aca="false">E78-F78</f>
        <v>77834</v>
      </c>
    </row>
    <row r="79" customFormat="false" ht="15" hidden="false" customHeight="false" outlineLevel="0" collapsed="false">
      <c r="B79" s="18" t="n">
        <v>46125</v>
      </c>
      <c r="C79" s="12" t="s">
        <v>16</v>
      </c>
      <c r="D79" s="12" t="n">
        <v>180</v>
      </c>
      <c r="E79" s="13" t="n">
        <v>114948</v>
      </c>
      <c r="F79" s="13" t="n">
        <v>150382</v>
      </c>
      <c r="G79" s="12" t="n">
        <v>7.5</v>
      </c>
      <c r="H79" s="19" t="n">
        <f aca="false">E79-F79</f>
        <v>-35434</v>
      </c>
    </row>
    <row r="80" customFormat="false" ht="15" hidden="false" customHeight="false" outlineLevel="0" collapsed="false">
      <c r="B80" s="18" t="n">
        <v>46125</v>
      </c>
      <c r="C80" s="12" t="s">
        <v>19</v>
      </c>
      <c r="D80" s="12" t="n">
        <v>162</v>
      </c>
      <c r="E80" s="13" t="n">
        <v>234850</v>
      </c>
      <c r="F80" s="13" t="n">
        <v>84343</v>
      </c>
      <c r="G80" s="12" t="n">
        <v>4.3</v>
      </c>
      <c r="H80" s="19" t="n">
        <f aca="false">E80-F80</f>
        <v>150507</v>
      </c>
    </row>
    <row r="81" customFormat="false" ht="15" hidden="false" customHeight="false" outlineLevel="0" collapsed="false">
      <c r="B81" s="18" t="n">
        <v>46125</v>
      </c>
      <c r="C81" s="12" t="s">
        <v>22</v>
      </c>
      <c r="D81" s="12" t="n">
        <v>124</v>
      </c>
      <c r="E81" s="13" t="n">
        <v>112861</v>
      </c>
      <c r="F81" s="13" t="n">
        <v>106772</v>
      </c>
      <c r="G81" s="12" t="n">
        <v>6.7</v>
      </c>
      <c r="H81" s="19" t="n">
        <f aca="false">E81-F81</f>
        <v>6089</v>
      </c>
    </row>
    <row r="82" customFormat="false" ht="15" hidden="false" customHeight="false" outlineLevel="0" collapsed="false">
      <c r="B82" s="18" t="n">
        <v>46125</v>
      </c>
      <c r="C82" s="12" t="s">
        <v>25</v>
      </c>
      <c r="D82" s="12" t="n">
        <v>104</v>
      </c>
      <c r="E82" s="13" t="n">
        <v>223331</v>
      </c>
      <c r="F82" s="13" t="n">
        <v>97146</v>
      </c>
      <c r="G82" s="12" t="n">
        <v>6.8</v>
      </c>
      <c r="H82" s="19" t="n">
        <f aca="false">E82-F82</f>
        <v>126185</v>
      </c>
    </row>
    <row r="83" customFormat="false" ht="15" hidden="false" customHeight="false" outlineLevel="0" collapsed="false">
      <c r="B83" s="18" t="n">
        <v>46126</v>
      </c>
      <c r="C83" s="12" t="s">
        <v>13</v>
      </c>
      <c r="D83" s="12" t="n">
        <v>220</v>
      </c>
      <c r="E83" s="13" t="n">
        <v>86828</v>
      </c>
      <c r="F83" s="13" t="n">
        <v>181097</v>
      </c>
      <c r="G83" s="12" t="n">
        <v>8.6</v>
      </c>
      <c r="H83" s="19" t="n">
        <f aca="false">E83-F83</f>
        <v>-94269</v>
      </c>
    </row>
    <row r="84" customFormat="false" ht="15" hidden="false" customHeight="false" outlineLevel="0" collapsed="false">
      <c r="B84" s="18" t="n">
        <v>46126</v>
      </c>
      <c r="C84" s="12" t="s">
        <v>16</v>
      </c>
      <c r="D84" s="12" t="n">
        <v>187</v>
      </c>
      <c r="E84" s="13" t="n">
        <v>231535</v>
      </c>
      <c r="F84" s="13" t="n">
        <v>190879</v>
      </c>
      <c r="G84" s="12" t="n">
        <v>8.1</v>
      </c>
      <c r="H84" s="19" t="n">
        <f aca="false">E84-F84</f>
        <v>40656</v>
      </c>
    </row>
    <row r="85" customFormat="false" ht="15" hidden="false" customHeight="false" outlineLevel="0" collapsed="false">
      <c r="B85" s="18" t="n">
        <v>46126</v>
      </c>
      <c r="C85" s="12" t="s">
        <v>19</v>
      </c>
      <c r="D85" s="12" t="n">
        <v>195</v>
      </c>
      <c r="E85" s="13" t="n">
        <v>97668</v>
      </c>
      <c r="F85" s="13" t="n">
        <v>176510</v>
      </c>
      <c r="G85" s="12" t="n">
        <v>6.2</v>
      </c>
      <c r="H85" s="19" t="n">
        <f aca="false">E85-F85</f>
        <v>-78842</v>
      </c>
    </row>
    <row r="86" customFormat="false" ht="15" hidden="false" customHeight="false" outlineLevel="0" collapsed="false">
      <c r="B86" s="18" t="n">
        <v>46126</v>
      </c>
      <c r="C86" s="12" t="s">
        <v>22</v>
      </c>
      <c r="D86" s="12" t="n">
        <v>161</v>
      </c>
      <c r="E86" s="13" t="n">
        <v>168671</v>
      </c>
      <c r="F86" s="13" t="n">
        <v>159499</v>
      </c>
      <c r="G86" s="12" t="n">
        <v>7.2</v>
      </c>
      <c r="H86" s="19" t="n">
        <f aca="false">E86-F86</f>
        <v>9172</v>
      </c>
    </row>
    <row r="87" customFormat="false" ht="15" hidden="false" customHeight="false" outlineLevel="0" collapsed="false">
      <c r="B87" s="18" t="n">
        <v>46126</v>
      </c>
      <c r="C87" s="12" t="s">
        <v>25</v>
      </c>
      <c r="D87" s="12" t="n">
        <v>142</v>
      </c>
      <c r="E87" s="13" t="n">
        <v>259211</v>
      </c>
      <c r="F87" s="13" t="n">
        <v>145815</v>
      </c>
      <c r="G87" s="12" t="n">
        <v>5.1</v>
      </c>
      <c r="H87" s="19" t="n">
        <f aca="false">E87-F87</f>
        <v>113396</v>
      </c>
    </row>
    <row r="88" customFormat="false" ht="15" hidden="false" customHeight="false" outlineLevel="0" collapsed="false">
      <c r="B88" s="18" t="n">
        <v>46127</v>
      </c>
      <c r="C88" s="12" t="s">
        <v>13</v>
      </c>
      <c r="D88" s="12" t="n">
        <v>109</v>
      </c>
      <c r="E88" s="13" t="n">
        <v>205403</v>
      </c>
      <c r="F88" s="13" t="n">
        <v>168605</v>
      </c>
      <c r="G88" s="12" t="n">
        <v>4.6</v>
      </c>
      <c r="H88" s="19" t="n">
        <f aca="false">E88-F88</f>
        <v>36798</v>
      </c>
    </row>
    <row r="89" customFormat="false" ht="15" hidden="false" customHeight="false" outlineLevel="0" collapsed="false">
      <c r="B89" s="18" t="n">
        <v>46127</v>
      </c>
      <c r="C89" s="12" t="s">
        <v>16</v>
      </c>
      <c r="D89" s="12" t="n">
        <v>96</v>
      </c>
      <c r="E89" s="13" t="n">
        <v>197366</v>
      </c>
      <c r="F89" s="13" t="n">
        <v>162114</v>
      </c>
      <c r="G89" s="12" t="n">
        <v>5.4</v>
      </c>
      <c r="H89" s="19" t="n">
        <f aca="false">E89-F89</f>
        <v>35252</v>
      </c>
    </row>
    <row r="90" customFormat="false" ht="15" hidden="false" customHeight="false" outlineLevel="0" collapsed="false">
      <c r="B90" s="18" t="n">
        <v>46127</v>
      </c>
      <c r="C90" s="12" t="s">
        <v>19</v>
      </c>
      <c r="D90" s="12" t="n">
        <v>105</v>
      </c>
      <c r="E90" s="13" t="n">
        <v>100951</v>
      </c>
      <c r="F90" s="13" t="n">
        <v>125646</v>
      </c>
      <c r="G90" s="12" t="n">
        <v>4</v>
      </c>
      <c r="H90" s="19" t="n">
        <f aca="false">E90-F90</f>
        <v>-24695</v>
      </c>
    </row>
    <row r="91" customFormat="false" ht="15" hidden="false" customHeight="false" outlineLevel="0" collapsed="false">
      <c r="B91" s="18" t="n">
        <v>46127</v>
      </c>
      <c r="C91" s="12" t="s">
        <v>22</v>
      </c>
      <c r="D91" s="12" t="n">
        <v>127</v>
      </c>
      <c r="E91" s="13" t="n">
        <v>219560</v>
      </c>
      <c r="F91" s="13" t="n">
        <v>145095</v>
      </c>
      <c r="G91" s="12" t="n">
        <v>9.4</v>
      </c>
      <c r="H91" s="19" t="n">
        <f aca="false">E91-F91</f>
        <v>74465</v>
      </c>
    </row>
    <row r="92" customFormat="false" ht="15" hidden="false" customHeight="false" outlineLevel="0" collapsed="false">
      <c r="B92" s="18" t="n">
        <v>46127</v>
      </c>
      <c r="C92" s="12" t="s">
        <v>25</v>
      </c>
      <c r="D92" s="12" t="n">
        <v>143</v>
      </c>
      <c r="E92" s="13" t="n">
        <v>193102</v>
      </c>
      <c r="F92" s="13" t="n">
        <v>137227</v>
      </c>
      <c r="G92" s="12" t="n">
        <v>2.6</v>
      </c>
      <c r="H92" s="19" t="n">
        <f aca="false">E92-F92</f>
        <v>55875</v>
      </c>
    </row>
    <row r="93" customFormat="false" ht="15" hidden="false" customHeight="false" outlineLevel="0" collapsed="false">
      <c r="B93" s="18" t="n">
        <v>46128</v>
      </c>
      <c r="C93" s="12" t="s">
        <v>13</v>
      </c>
      <c r="D93" s="12" t="n">
        <v>112</v>
      </c>
      <c r="E93" s="13" t="n">
        <v>109589</v>
      </c>
      <c r="F93" s="13" t="n">
        <v>93710</v>
      </c>
      <c r="G93" s="12" t="n">
        <v>9.2</v>
      </c>
      <c r="H93" s="19" t="n">
        <f aca="false">E93-F93</f>
        <v>15879</v>
      </c>
    </row>
    <row r="94" customFormat="false" ht="15" hidden="false" customHeight="false" outlineLevel="0" collapsed="false">
      <c r="B94" s="18" t="n">
        <v>46128</v>
      </c>
      <c r="C94" s="12" t="s">
        <v>16</v>
      </c>
      <c r="D94" s="12" t="n">
        <v>188</v>
      </c>
      <c r="E94" s="13" t="n">
        <v>244608</v>
      </c>
      <c r="F94" s="13" t="n">
        <v>115675</v>
      </c>
      <c r="G94" s="12" t="n">
        <v>4.7</v>
      </c>
      <c r="H94" s="19" t="n">
        <f aca="false">E94-F94</f>
        <v>128933</v>
      </c>
    </row>
    <row r="95" customFormat="false" ht="15" hidden="false" customHeight="false" outlineLevel="0" collapsed="false">
      <c r="B95" s="18" t="n">
        <v>46128</v>
      </c>
      <c r="C95" s="12" t="s">
        <v>19</v>
      </c>
      <c r="D95" s="12" t="n">
        <v>94</v>
      </c>
      <c r="E95" s="13" t="n">
        <v>121942</v>
      </c>
      <c r="F95" s="13" t="n">
        <v>108554</v>
      </c>
      <c r="G95" s="12" t="n">
        <v>2.8</v>
      </c>
      <c r="H95" s="19" t="n">
        <f aca="false">E95-F95</f>
        <v>13388</v>
      </c>
    </row>
    <row r="96" customFormat="false" ht="15" hidden="false" customHeight="false" outlineLevel="0" collapsed="false">
      <c r="B96" s="18" t="n">
        <v>46128</v>
      </c>
      <c r="C96" s="12" t="s">
        <v>22</v>
      </c>
      <c r="D96" s="12" t="n">
        <v>149</v>
      </c>
      <c r="E96" s="13" t="n">
        <v>194677</v>
      </c>
      <c r="F96" s="13" t="n">
        <v>106710</v>
      </c>
      <c r="G96" s="12" t="n">
        <v>7.1</v>
      </c>
      <c r="H96" s="19" t="n">
        <f aca="false">E96-F96</f>
        <v>87967</v>
      </c>
    </row>
    <row r="97" customFormat="false" ht="15" hidden="false" customHeight="false" outlineLevel="0" collapsed="false">
      <c r="B97" s="18" t="n">
        <v>46128</v>
      </c>
      <c r="C97" s="12" t="s">
        <v>25</v>
      </c>
      <c r="D97" s="12" t="n">
        <v>194</v>
      </c>
      <c r="E97" s="13" t="n">
        <v>101151</v>
      </c>
      <c r="F97" s="13" t="n">
        <v>187640</v>
      </c>
      <c r="G97" s="12" t="n">
        <v>8.5</v>
      </c>
      <c r="H97" s="19" t="n">
        <f aca="false">E97-F97</f>
        <v>-86489</v>
      </c>
    </row>
    <row r="98" customFormat="false" ht="15" hidden="false" customHeight="false" outlineLevel="0" collapsed="false">
      <c r="B98" s="18" t="n">
        <v>46129</v>
      </c>
      <c r="C98" s="12" t="s">
        <v>13</v>
      </c>
      <c r="D98" s="12" t="n">
        <v>129</v>
      </c>
      <c r="E98" s="13" t="n">
        <v>109185</v>
      </c>
      <c r="F98" s="13" t="n">
        <v>74164</v>
      </c>
      <c r="G98" s="12" t="n">
        <v>4.9</v>
      </c>
      <c r="H98" s="19" t="n">
        <f aca="false">E98-F98</f>
        <v>35021</v>
      </c>
    </row>
    <row r="99" customFormat="false" ht="15" hidden="false" customHeight="false" outlineLevel="0" collapsed="false">
      <c r="B99" s="18" t="n">
        <v>46129</v>
      </c>
      <c r="C99" s="12" t="s">
        <v>16</v>
      </c>
      <c r="D99" s="12" t="n">
        <v>103</v>
      </c>
      <c r="E99" s="13" t="n">
        <v>216005</v>
      </c>
      <c r="F99" s="13" t="n">
        <v>196571</v>
      </c>
      <c r="G99" s="12" t="n">
        <v>8</v>
      </c>
      <c r="H99" s="19" t="n">
        <f aca="false">E99-F99</f>
        <v>19434</v>
      </c>
    </row>
    <row r="100" customFormat="false" ht="15" hidden="false" customHeight="false" outlineLevel="0" collapsed="false">
      <c r="B100" s="18" t="n">
        <v>46129</v>
      </c>
      <c r="C100" s="12" t="s">
        <v>19</v>
      </c>
      <c r="D100" s="12" t="n">
        <v>134</v>
      </c>
      <c r="E100" s="13" t="n">
        <v>103993</v>
      </c>
      <c r="F100" s="13" t="n">
        <v>171798</v>
      </c>
      <c r="G100" s="12" t="n">
        <v>4.6</v>
      </c>
      <c r="H100" s="19" t="n">
        <f aca="false">E100-F100</f>
        <v>-67805</v>
      </c>
    </row>
    <row r="101" customFormat="false" ht="15" hidden="false" customHeight="false" outlineLevel="0" collapsed="false">
      <c r="B101" s="18" t="n">
        <v>46129</v>
      </c>
      <c r="C101" s="12" t="s">
        <v>22</v>
      </c>
      <c r="D101" s="12" t="n">
        <v>166</v>
      </c>
      <c r="E101" s="13" t="n">
        <v>144146</v>
      </c>
      <c r="F101" s="13" t="n">
        <v>128741</v>
      </c>
      <c r="G101" s="12" t="n">
        <v>4.5</v>
      </c>
      <c r="H101" s="19" t="n">
        <f aca="false">E101-F101</f>
        <v>15405</v>
      </c>
    </row>
    <row r="102" customFormat="false" ht="15" hidden="false" customHeight="false" outlineLevel="0" collapsed="false">
      <c r="B102" s="18" t="n">
        <v>46129</v>
      </c>
      <c r="C102" s="12" t="s">
        <v>25</v>
      </c>
      <c r="D102" s="12" t="n">
        <v>196</v>
      </c>
      <c r="E102" s="13" t="n">
        <v>154167</v>
      </c>
      <c r="F102" s="13" t="n">
        <v>133447</v>
      </c>
      <c r="G102" s="12" t="n">
        <v>7.7</v>
      </c>
      <c r="H102" s="19" t="n">
        <f aca="false">E102-F102</f>
        <v>20720</v>
      </c>
    </row>
    <row r="103" customFormat="false" ht="15" hidden="false" customHeight="false" outlineLevel="0" collapsed="false">
      <c r="B103" s="18" t="n">
        <v>46132</v>
      </c>
      <c r="C103" s="12" t="s">
        <v>13</v>
      </c>
      <c r="D103" s="12" t="n">
        <v>144</v>
      </c>
      <c r="E103" s="13" t="n">
        <v>105419</v>
      </c>
      <c r="F103" s="13" t="n">
        <v>82144</v>
      </c>
      <c r="G103" s="12" t="n">
        <v>3.6</v>
      </c>
      <c r="H103" s="19" t="n">
        <f aca="false">E103-F103</f>
        <v>23275</v>
      </c>
    </row>
    <row r="104" customFormat="false" ht="15" hidden="false" customHeight="false" outlineLevel="0" collapsed="false">
      <c r="B104" s="18" t="n">
        <v>46132</v>
      </c>
      <c r="C104" s="12" t="s">
        <v>16</v>
      </c>
      <c r="D104" s="12" t="n">
        <v>120</v>
      </c>
      <c r="E104" s="13" t="n">
        <v>146688</v>
      </c>
      <c r="F104" s="13" t="n">
        <v>99206</v>
      </c>
      <c r="G104" s="12" t="n">
        <v>8.2</v>
      </c>
      <c r="H104" s="19" t="n">
        <f aca="false">E104-F104</f>
        <v>47482</v>
      </c>
    </row>
    <row r="105" customFormat="false" ht="15" hidden="false" customHeight="false" outlineLevel="0" collapsed="false">
      <c r="B105" s="18" t="n">
        <v>46132</v>
      </c>
      <c r="C105" s="12" t="s">
        <v>19</v>
      </c>
      <c r="D105" s="12" t="n">
        <v>146</v>
      </c>
      <c r="E105" s="13" t="n">
        <v>243723</v>
      </c>
      <c r="F105" s="13" t="n">
        <v>140057</v>
      </c>
      <c r="G105" s="12" t="n">
        <v>3.2</v>
      </c>
      <c r="H105" s="19" t="n">
        <f aca="false">E105-F105</f>
        <v>103666</v>
      </c>
    </row>
    <row r="106" customFormat="false" ht="15" hidden="false" customHeight="false" outlineLevel="0" collapsed="false">
      <c r="B106" s="18" t="n">
        <v>46132</v>
      </c>
      <c r="C106" s="12" t="s">
        <v>22</v>
      </c>
      <c r="D106" s="12" t="n">
        <v>216</v>
      </c>
      <c r="E106" s="13" t="n">
        <v>195740</v>
      </c>
      <c r="F106" s="13" t="n">
        <v>87351</v>
      </c>
      <c r="G106" s="12" t="n">
        <v>2.8</v>
      </c>
      <c r="H106" s="19" t="n">
        <f aca="false">E106-F106</f>
        <v>108389</v>
      </c>
    </row>
    <row r="107" customFormat="false" ht="15" hidden="false" customHeight="false" outlineLevel="0" collapsed="false">
      <c r="B107" s="18" t="n">
        <v>46132</v>
      </c>
      <c r="C107" s="12" t="s">
        <v>25</v>
      </c>
      <c r="D107" s="12" t="n">
        <v>197</v>
      </c>
      <c r="E107" s="13" t="n">
        <v>115866</v>
      </c>
      <c r="F107" s="13" t="n">
        <v>185203</v>
      </c>
      <c r="G107" s="12" t="n">
        <v>4.1</v>
      </c>
      <c r="H107" s="19" t="n">
        <f aca="false">E107-F107</f>
        <v>-69337</v>
      </c>
    </row>
    <row r="108" customFormat="false" ht="15" hidden="false" customHeight="false" outlineLevel="0" collapsed="false">
      <c r="B108" s="18" t="n">
        <v>46133</v>
      </c>
      <c r="C108" s="12" t="s">
        <v>13</v>
      </c>
      <c r="D108" s="12" t="n">
        <v>174</v>
      </c>
      <c r="E108" s="13" t="n">
        <v>175300</v>
      </c>
      <c r="F108" s="13" t="n">
        <v>92740</v>
      </c>
      <c r="G108" s="12" t="n">
        <v>2.5</v>
      </c>
      <c r="H108" s="19" t="n">
        <f aca="false">E108-F108</f>
        <v>82560</v>
      </c>
    </row>
    <row r="109" customFormat="false" ht="15" hidden="false" customHeight="false" outlineLevel="0" collapsed="false">
      <c r="B109" s="18" t="n">
        <v>46133</v>
      </c>
      <c r="C109" s="12" t="s">
        <v>16</v>
      </c>
      <c r="D109" s="12" t="n">
        <v>215</v>
      </c>
      <c r="E109" s="13" t="n">
        <v>103132</v>
      </c>
      <c r="F109" s="13" t="n">
        <v>86510</v>
      </c>
      <c r="G109" s="12" t="n">
        <v>7.9</v>
      </c>
      <c r="H109" s="19" t="n">
        <f aca="false">E109-F109</f>
        <v>16622</v>
      </c>
    </row>
    <row r="110" customFormat="false" ht="15" hidden="false" customHeight="false" outlineLevel="0" collapsed="false">
      <c r="B110" s="18" t="n">
        <v>46133</v>
      </c>
      <c r="C110" s="12" t="s">
        <v>19</v>
      </c>
      <c r="D110" s="12" t="n">
        <v>158</v>
      </c>
      <c r="E110" s="13" t="n">
        <v>197313</v>
      </c>
      <c r="F110" s="13" t="n">
        <v>64012</v>
      </c>
      <c r="G110" s="12" t="n">
        <v>5.4</v>
      </c>
      <c r="H110" s="19" t="n">
        <f aca="false">E110-F110</f>
        <v>133301</v>
      </c>
    </row>
    <row r="111" customFormat="false" ht="15" hidden="false" customHeight="false" outlineLevel="0" collapsed="false">
      <c r="B111" s="18" t="n">
        <v>46133</v>
      </c>
      <c r="C111" s="12" t="s">
        <v>22</v>
      </c>
      <c r="D111" s="12" t="n">
        <v>125</v>
      </c>
      <c r="E111" s="13" t="n">
        <v>80318</v>
      </c>
      <c r="F111" s="13" t="n">
        <v>196443</v>
      </c>
      <c r="G111" s="12" t="n">
        <v>3.5</v>
      </c>
      <c r="H111" s="19" t="n">
        <f aca="false">E111-F111</f>
        <v>-116125</v>
      </c>
    </row>
    <row r="112" customFormat="false" ht="15" hidden="false" customHeight="false" outlineLevel="0" collapsed="false">
      <c r="B112" s="18" t="n">
        <v>46133</v>
      </c>
      <c r="C112" s="12" t="s">
        <v>25</v>
      </c>
      <c r="D112" s="12" t="n">
        <v>179</v>
      </c>
      <c r="E112" s="13" t="n">
        <v>119591</v>
      </c>
      <c r="F112" s="13" t="n">
        <v>172347</v>
      </c>
      <c r="G112" s="12" t="n">
        <v>8.8</v>
      </c>
      <c r="H112" s="19" t="n">
        <f aca="false">E112-F112</f>
        <v>-52756</v>
      </c>
    </row>
    <row r="113" customFormat="false" ht="15" hidden="false" customHeight="false" outlineLevel="0" collapsed="false">
      <c r="B113" s="18" t="n">
        <v>46134</v>
      </c>
      <c r="C113" s="12" t="s">
        <v>13</v>
      </c>
      <c r="D113" s="12" t="n">
        <v>94</v>
      </c>
      <c r="E113" s="13" t="n">
        <v>173555</v>
      </c>
      <c r="F113" s="13" t="n">
        <v>154975</v>
      </c>
      <c r="G113" s="12" t="n">
        <v>4.8</v>
      </c>
      <c r="H113" s="19" t="n">
        <f aca="false">E113-F113</f>
        <v>18580</v>
      </c>
    </row>
    <row r="114" customFormat="false" ht="15" hidden="false" customHeight="false" outlineLevel="0" collapsed="false">
      <c r="B114" s="18" t="n">
        <v>46134</v>
      </c>
      <c r="C114" s="12" t="s">
        <v>16</v>
      </c>
      <c r="D114" s="12" t="n">
        <v>179</v>
      </c>
      <c r="E114" s="13" t="n">
        <v>130566</v>
      </c>
      <c r="F114" s="13" t="n">
        <v>88033</v>
      </c>
      <c r="G114" s="12" t="n">
        <v>3.5</v>
      </c>
      <c r="H114" s="19" t="n">
        <f aca="false">E114-F114</f>
        <v>42533</v>
      </c>
    </row>
    <row r="115" customFormat="false" ht="15" hidden="false" customHeight="false" outlineLevel="0" collapsed="false">
      <c r="B115" s="18" t="n">
        <v>46134</v>
      </c>
      <c r="C115" s="12" t="s">
        <v>19</v>
      </c>
      <c r="D115" s="12" t="n">
        <v>130</v>
      </c>
      <c r="E115" s="13" t="n">
        <v>227700</v>
      </c>
      <c r="F115" s="13" t="n">
        <v>104391</v>
      </c>
      <c r="G115" s="12" t="n">
        <v>6.9</v>
      </c>
      <c r="H115" s="19" t="n">
        <f aca="false">E115-F115</f>
        <v>123309</v>
      </c>
    </row>
    <row r="116" customFormat="false" ht="15" hidden="false" customHeight="false" outlineLevel="0" collapsed="false">
      <c r="B116" s="18" t="n">
        <v>46134</v>
      </c>
      <c r="C116" s="12" t="s">
        <v>22</v>
      </c>
      <c r="D116" s="12" t="n">
        <v>104</v>
      </c>
      <c r="E116" s="13" t="n">
        <v>237102</v>
      </c>
      <c r="F116" s="13" t="n">
        <v>173311</v>
      </c>
      <c r="G116" s="12" t="n">
        <v>7.9</v>
      </c>
      <c r="H116" s="19" t="n">
        <f aca="false">E116-F116</f>
        <v>63791</v>
      </c>
    </row>
    <row r="117" customFormat="false" ht="15" hidden="false" customHeight="false" outlineLevel="0" collapsed="false">
      <c r="B117" s="18" t="n">
        <v>46134</v>
      </c>
      <c r="C117" s="12" t="s">
        <v>25</v>
      </c>
      <c r="D117" s="12" t="n">
        <v>215</v>
      </c>
      <c r="E117" s="13" t="n">
        <v>187545</v>
      </c>
      <c r="F117" s="13" t="n">
        <v>114618</v>
      </c>
      <c r="G117" s="12" t="n">
        <v>8.2</v>
      </c>
      <c r="H117" s="19" t="n">
        <f aca="false">E117-F117</f>
        <v>72927</v>
      </c>
    </row>
    <row r="118" customFormat="false" ht="15" hidden="false" customHeight="false" outlineLevel="0" collapsed="false">
      <c r="B118" s="18" t="n">
        <v>46135</v>
      </c>
      <c r="C118" s="12" t="s">
        <v>13</v>
      </c>
      <c r="D118" s="12" t="n">
        <v>186</v>
      </c>
      <c r="E118" s="13" t="n">
        <v>85344</v>
      </c>
      <c r="F118" s="13" t="n">
        <v>164361</v>
      </c>
      <c r="G118" s="12" t="n">
        <v>8</v>
      </c>
      <c r="H118" s="19" t="n">
        <f aca="false">E118-F118</f>
        <v>-79017</v>
      </c>
    </row>
    <row r="119" customFormat="false" ht="15" hidden="false" customHeight="false" outlineLevel="0" collapsed="false">
      <c r="B119" s="18" t="n">
        <v>46135</v>
      </c>
      <c r="C119" s="12" t="s">
        <v>16</v>
      </c>
      <c r="D119" s="12" t="n">
        <v>177</v>
      </c>
      <c r="E119" s="13" t="n">
        <v>192469</v>
      </c>
      <c r="F119" s="13" t="n">
        <v>164909</v>
      </c>
      <c r="G119" s="12" t="n">
        <v>4.5</v>
      </c>
      <c r="H119" s="19" t="n">
        <f aca="false">E119-F119</f>
        <v>27560</v>
      </c>
    </row>
    <row r="120" customFormat="false" ht="15" hidden="false" customHeight="false" outlineLevel="0" collapsed="false">
      <c r="B120" s="18" t="n">
        <v>46135</v>
      </c>
      <c r="C120" s="12" t="s">
        <v>19</v>
      </c>
      <c r="D120" s="12" t="n">
        <v>152</v>
      </c>
      <c r="E120" s="13" t="n">
        <v>185107</v>
      </c>
      <c r="F120" s="13" t="n">
        <v>104165</v>
      </c>
      <c r="G120" s="12" t="n">
        <v>8.3</v>
      </c>
      <c r="H120" s="19" t="n">
        <f aca="false">E120-F120</f>
        <v>80942</v>
      </c>
    </row>
    <row r="121" customFormat="false" ht="15" hidden="false" customHeight="false" outlineLevel="0" collapsed="false">
      <c r="B121" s="18" t="n">
        <v>46135</v>
      </c>
      <c r="C121" s="12" t="s">
        <v>22</v>
      </c>
      <c r="D121" s="12" t="n">
        <v>102</v>
      </c>
      <c r="E121" s="13" t="n">
        <v>200942</v>
      </c>
      <c r="F121" s="13" t="n">
        <v>175464</v>
      </c>
      <c r="G121" s="12" t="n">
        <v>3.2</v>
      </c>
      <c r="H121" s="19" t="n">
        <f aca="false">E121-F121</f>
        <v>25478</v>
      </c>
    </row>
    <row r="122" customFormat="false" ht="15" hidden="false" customHeight="false" outlineLevel="0" collapsed="false">
      <c r="B122" s="18" t="n">
        <v>46135</v>
      </c>
      <c r="C122" s="12" t="s">
        <v>25</v>
      </c>
      <c r="D122" s="12" t="n">
        <v>205</v>
      </c>
      <c r="E122" s="13" t="n">
        <v>117472</v>
      </c>
      <c r="F122" s="13" t="n">
        <v>71375</v>
      </c>
      <c r="G122" s="12" t="n">
        <v>6.4</v>
      </c>
      <c r="H122" s="19" t="n">
        <f aca="false">E122-F122</f>
        <v>46097</v>
      </c>
    </row>
    <row r="123" customFormat="false" ht="15" hidden="false" customHeight="false" outlineLevel="0" collapsed="false">
      <c r="B123" s="18" t="n">
        <v>46136</v>
      </c>
      <c r="C123" s="12" t="s">
        <v>13</v>
      </c>
      <c r="D123" s="12" t="n">
        <v>138</v>
      </c>
      <c r="E123" s="13" t="n">
        <v>87047</v>
      </c>
      <c r="F123" s="13" t="n">
        <v>123229</v>
      </c>
      <c r="G123" s="12" t="n">
        <v>9.3</v>
      </c>
      <c r="H123" s="19" t="n">
        <f aca="false">E123-F123</f>
        <v>-36182</v>
      </c>
    </row>
    <row r="124" customFormat="false" ht="15" hidden="false" customHeight="false" outlineLevel="0" collapsed="false">
      <c r="B124" s="18" t="n">
        <v>46136</v>
      </c>
      <c r="C124" s="12" t="s">
        <v>16</v>
      </c>
      <c r="D124" s="12" t="n">
        <v>101</v>
      </c>
      <c r="E124" s="13" t="n">
        <v>210758</v>
      </c>
      <c r="F124" s="13" t="n">
        <v>131547</v>
      </c>
      <c r="G124" s="12" t="n">
        <v>8.8</v>
      </c>
      <c r="H124" s="19" t="n">
        <f aca="false">E124-F124</f>
        <v>79211</v>
      </c>
    </row>
    <row r="125" customFormat="false" ht="15" hidden="false" customHeight="false" outlineLevel="0" collapsed="false">
      <c r="B125" s="18" t="n">
        <v>46136</v>
      </c>
      <c r="C125" s="12" t="s">
        <v>19</v>
      </c>
      <c r="D125" s="12" t="n">
        <v>100</v>
      </c>
      <c r="E125" s="13" t="n">
        <v>171654</v>
      </c>
      <c r="F125" s="13" t="n">
        <v>109985</v>
      </c>
      <c r="G125" s="12" t="n">
        <v>7.7</v>
      </c>
      <c r="H125" s="19" t="n">
        <f aca="false">E125-F125</f>
        <v>61669</v>
      </c>
    </row>
    <row r="126" customFormat="false" ht="15" hidden="false" customHeight="false" outlineLevel="0" collapsed="false">
      <c r="B126" s="18" t="n">
        <v>46136</v>
      </c>
      <c r="C126" s="12" t="s">
        <v>22</v>
      </c>
      <c r="D126" s="12" t="n">
        <v>207</v>
      </c>
      <c r="E126" s="13" t="n">
        <v>184931</v>
      </c>
      <c r="F126" s="13" t="n">
        <v>101899</v>
      </c>
      <c r="G126" s="12" t="n">
        <v>5.6</v>
      </c>
      <c r="H126" s="19" t="n">
        <f aca="false">E126-F126</f>
        <v>83032</v>
      </c>
    </row>
    <row r="127" customFormat="false" ht="15" hidden="false" customHeight="false" outlineLevel="0" collapsed="false">
      <c r="B127" s="18" t="n">
        <v>46136</v>
      </c>
      <c r="C127" s="12" t="s">
        <v>25</v>
      </c>
      <c r="D127" s="12" t="n">
        <v>142</v>
      </c>
      <c r="E127" s="13" t="n">
        <v>193048</v>
      </c>
      <c r="F127" s="13" t="n">
        <v>163094</v>
      </c>
      <c r="G127" s="12" t="n">
        <v>2.9</v>
      </c>
      <c r="H127" s="19" t="n">
        <f aca="false">E127-F127</f>
        <v>29954</v>
      </c>
    </row>
    <row r="128" customFormat="false" ht="15" hidden="false" customHeight="false" outlineLevel="0" collapsed="false">
      <c r="B128" s="18" t="n">
        <v>46139</v>
      </c>
      <c r="C128" s="12" t="s">
        <v>13</v>
      </c>
      <c r="D128" s="12" t="n">
        <v>193</v>
      </c>
      <c r="E128" s="13" t="n">
        <v>138130</v>
      </c>
      <c r="F128" s="13" t="n">
        <v>110147</v>
      </c>
      <c r="G128" s="12" t="n">
        <v>6.4</v>
      </c>
      <c r="H128" s="19" t="n">
        <f aca="false">E128-F128</f>
        <v>27983</v>
      </c>
    </row>
    <row r="129" customFormat="false" ht="15" hidden="false" customHeight="false" outlineLevel="0" collapsed="false">
      <c r="B129" s="18" t="n">
        <v>46139</v>
      </c>
      <c r="C129" s="12" t="s">
        <v>16</v>
      </c>
      <c r="D129" s="12" t="n">
        <v>198</v>
      </c>
      <c r="E129" s="13" t="n">
        <v>133639</v>
      </c>
      <c r="F129" s="13" t="n">
        <v>70224</v>
      </c>
      <c r="G129" s="12" t="n">
        <v>2.8</v>
      </c>
      <c r="H129" s="19" t="n">
        <f aca="false">E129-F129</f>
        <v>63415</v>
      </c>
    </row>
    <row r="130" customFormat="false" ht="15" hidden="false" customHeight="false" outlineLevel="0" collapsed="false">
      <c r="B130" s="18" t="n">
        <v>46139</v>
      </c>
      <c r="C130" s="12" t="s">
        <v>19</v>
      </c>
      <c r="D130" s="12" t="n">
        <v>94</v>
      </c>
      <c r="E130" s="13" t="n">
        <v>197009</v>
      </c>
      <c r="F130" s="13" t="n">
        <v>197546</v>
      </c>
      <c r="G130" s="12" t="n">
        <v>7.6</v>
      </c>
      <c r="H130" s="19" t="n">
        <f aca="false">E130-F130</f>
        <v>-537</v>
      </c>
    </row>
    <row r="131" customFormat="false" ht="15" hidden="false" customHeight="false" outlineLevel="0" collapsed="false">
      <c r="B131" s="18" t="n">
        <v>46139</v>
      </c>
      <c r="C131" s="12" t="s">
        <v>22</v>
      </c>
      <c r="D131" s="12" t="n">
        <v>190</v>
      </c>
      <c r="E131" s="13" t="n">
        <v>185403</v>
      </c>
      <c r="F131" s="13" t="n">
        <v>192261</v>
      </c>
      <c r="G131" s="12" t="n">
        <v>3.4</v>
      </c>
      <c r="H131" s="19" t="n">
        <f aca="false">E131-F131</f>
        <v>-6858</v>
      </c>
    </row>
    <row r="132" customFormat="false" ht="15" hidden="false" customHeight="false" outlineLevel="0" collapsed="false">
      <c r="B132" s="18" t="n">
        <v>46139</v>
      </c>
      <c r="C132" s="12" t="s">
        <v>25</v>
      </c>
      <c r="D132" s="12" t="n">
        <v>206</v>
      </c>
      <c r="E132" s="13" t="n">
        <v>102555</v>
      </c>
      <c r="F132" s="13" t="n">
        <v>189059</v>
      </c>
      <c r="G132" s="12" t="n">
        <v>9.3</v>
      </c>
      <c r="H132" s="19" t="n">
        <f aca="false">E132-F132</f>
        <v>-86504</v>
      </c>
    </row>
    <row r="133" customFormat="false" ht="15" hidden="false" customHeight="false" outlineLevel="0" collapsed="false">
      <c r="B133" s="18" t="n">
        <v>46140</v>
      </c>
      <c r="C133" s="12" t="s">
        <v>13</v>
      </c>
      <c r="D133" s="12" t="n">
        <v>204</v>
      </c>
      <c r="E133" s="13" t="n">
        <v>101332</v>
      </c>
      <c r="F133" s="13" t="n">
        <v>194291</v>
      </c>
      <c r="G133" s="12" t="n">
        <v>7.3</v>
      </c>
      <c r="H133" s="19" t="n">
        <f aca="false">E133-F133</f>
        <v>-92959</v>
      </c>
    </row>
    <row r="134" customFormat="false" ht="15" hidden="false" customHeight="false" outlineLevel="0" collapsed="false">
      <c r="B134" s="18" t="n">
        <v>46140</v>
      </c>
      <c r="C134" s="12" t="s">
        <v>16</v>
      </c>
      <c r="D134" s="12" t="n">
        <v>93</v>
      </c>
      <c r="E134" s="13" t="n">
        <v>95706</v>
      </c>
      <c r="F134" s="13" t="n">
        <v>188235</v>
      </c>
      <c r="G134" s="12" t="n">
        <v>7</v>
      </c>
      <c r="H134" s="19" t="n">
        <f aca="false">E134-F134</f>
        <v>-92529</v>
      </c>
    </row>
    <row r="135" customFormat="false" ht="15" hidden="false" customHeight="false" outlineLevel="0" collapsed="false">
      <c r="B135" s="18" t="n">
        <v>46140</v>
      </c>
      <c r="C135" s="12" t="s">
        <v>19</v>
      </c>
      <c r="D135" s="12" t="n">
        <v>151</v>
      </c>
      <c r="E135" s="13" t="n">
        <v>109799</v>
      </c>
      <c r="F135" s="13" t="n">
        <v>67176</v>
      </c>
      <c r="G135" s="12" t="n">
        <v>5.4</v>
      </c>
      <c r="H135" s="19" t="n">
        <f aca="false">E135-F135</f>
        <v>42623</v>
      </c>
    </row>
    <row r="136" customFormat="false" ht="15" hidden="false" customHeight="false" outlineLevel="0" collapsed="false">
      <c r="B136" s="18" t="n">
        <v>46140</v>
      </c>
      <c r="C136" s="12" t="s">
        <v>22</v>
      </c>
      <c r="D136" s="12" t="n">
        <v>142</v>
      </c>
      <c r="E136" s="13" t="n">
        <v>202014</v>
      </c>
      <c r="F136" s="13" t="n">
        <v>185889</v>
      </c>
      <c r="G136" s="12" t="n">
        <v>2.8</v>
      </c>
      <c r="H136" s="19" t="n">
        <f aca="false">E136-F136</f>
        <v>16125</v>
      </c>
    </row>
    <row r="137" customFormat="false" ht="15" hidden="false" customHeight="false" outlineLevel="0" collapsed="false">
      <c r="B137" s="18" t="n">
        <v>46140</v>
      </c>
      <c r="C137" s="12" t="s">
        <v>25</v>
      </c>
      <c r="D137" s="12" t="n">
        <v>100</v>
      </c>
      <c r="E137" s="13" t="n">
        <v>132990</v>
      </c>
      <c r="F137" s="13" t="n">
        <v>132628</v>
      </c>
      <c r="G137" s="12" t="n">
        <v>7.6</v>
      </c>
      <c r="H137" s="19" t="n">
        <f aca="false">E137-F137</f>
        <v>362</v>
      </c>
    </row>
    <row r="138" customFormat="false" ht="15" hidden="false" customHeight="false" outlineLevel="0" collapsed="false">
      <c r="B138" s="18" t="n">
        <v>46141</v>
      </c>
      <c r="C138" s="12" t="s">
        <v>13</v>
      </c>
      <c r="D138" s="12" t="n">
        <v>217</v>
      </c>
      <c r="E138" s="13" t="n">
        <v>217873</v>
      </c>
      <c r="F138" s="13" t="n">
        <v>98918</v>
      </c>
      <c r="G138" s="12" t="n">
        <v>3.5</v>
      </c>
      <c r="H138" s="19" t="n">
        <f aca="false">E138-F138</f>
        <v>118955</v>
      </c>
    </row>
    <row r="139" customFormat="false" ht="15" hidden="false" customHeight="false" outlineLevel="0" collapsed="false">
      <c r="B139" s="18" t="n">
        <v>46141</v>
      </c>
      <c r="C139" s="12" t="s">
        <v>16</v>
      </c>
      <c r="D139" s="12" t="n">
        <v>94</v>
      </c>
      <c r="E139" s="13" t="n">
        <v>126557</v>
      </c>
      <c r="F139" s="13" t="n">
        <v>77483</v>
      </c>
      <c r="G139" s="12" t="n">
        <v>4.6</v>
      </c>
      <c r="H139" s="19" t="n">
        <f aca="false">E139-F139</f>
        <v>49074</v>
      </c>
    </row>
    <row r="140" customFormat="false" ht="15" hidden="false" customHeight="false" outlineLevel="0" collapsed="false">
      <c r="B140" s="18" t="n">
        <v>46141</v>
      </c>
      <c r="C140" s="12" t="s">
        <v>19</v>
      </c>
      <c r="D140" s="12" t="n">
        <v>211</v>
      </c>
      <c r="E140" s="13" t="n">
        <v>130881</v>
      </c>
      <c r="F140" s="13" t="n">
        <v>189501</v>
      </c>
      <c r="G140" s="12" t="n">
        <v>2.5</v>
      </c>
      <c r="H140" s="19" t="n">
        <f aca="false">E140-F140</f>
        <v>-58620</v>
      </c>
    </row>
    <row r="141" customFormat="false" ht="15" hidden="false" customHeight="false" outlineLevel="0" collapsed="false">
      <c r="B141" s="18" t="n">
        <v>46141</v>
      </c>
      <c r="C141" s="12" t="s">
        <v>22</v>
      </c>
      <c r="D141" s="12" t="n">
        <v>153</v>
      </c>
      <c r="E141" s="13" t="n">
        <v>97801</v>
      </c>
      <c r="F141" s="13" t="n">
        <v>182588</v>
      </c>
      <c r="G141" s="12" t="n">
        <v>8</v>
      </c>
      <c r="H141" s="19" t="n">
        <f aca="false">E141-F141</f>
        <v>-84787</v>
      </c>
    </row>
    <row r="142" customFormat="false" ht="15" hidden="false" customHeight="false" outlineLevel="0" collapsed="false">
      <c r="B142" s="18" t="n">
        <v>46141</v>
      </c>
      <c r="C142" s="12" t="s">
        <v>25</v>
      </c>
      <c r="D142" s="12" t="n">
        <v>106</v>
      </c>
      <c r="E142" s="13" t="n">
        <v>236017</v>
      </c>
      <c r="F142" s="13" t="n">
        <v>77235</v>
      </c>
      <c r="G142" s="12" t="n">
        <v>5.2</v>
      </c>
      <c r="H142" s="19" t="n">
        <f aca="false">E142-F142</f>
        <v>158782</v>
      </c>
    </row>
    <row r="143" customFormat="false" ht="15" hidden="false" customHeight="false" outlineLevel="0" collapsed="false">
      <c r="B143" s="18" t="n">
        <v>46142</v>
      </c>
      <c r="C143" s="12" t="s">
        <v>13</v>
      </c>
      <c r="D143" s="12" t="n">
        <v>135</v>
      </c>
      <c r="E143" s="13" t="n">
        <v>130333</v>
      </c>
      <c r="F143" s="13" t="n">
        <v>74833</v>
      </c>
      <c r="G143" s="12" t="n">
        <v>7.6</v>
      </c>
      <c r="H143" s="19" t="n">
        <f aca="false">E143-F143</f>
        <v>55500</v>
      </c>
    </row>
    <row r="144" customFormat="false" ht="15" hidden="false" customHeight="false" outlineLevel="0" collapsed="false">
      <c r="B144" s="18" t="n">
        <v>46142</v>
      </c>
      <c r="C144" s="12" t="s">
        <v>16</v>
      </c>
      <c r="D144" s="12" t="n">
        <v>187</v>
      </c>
      <c r="E144" s="13" t="n">
        <v>243810</v>
      </c>
      <c r="F144" s="13" t="n">
        <v>113840</v>
      </c>
      <c r="G144" s="12" t="n">
        <v>7.5</v>
      </c>
      <c r="H144" s="19" t="n">
        <f aca="false">E144-F144</f>
        <v>129970</v>
      </c>
    </row>
    <row r="145" customFormat="false" ht="15" hidden="false" customHeight="false" outlineLevel="0" collapsed="false">
      <c r="B145" s="18" t="n">
        <v>46142</v>
      </c>
      <c r="C145" s="12" t="s">
        <v>19</v>
      </c>
      <c r="D145" s="12" t="n">
        <v>205</v>
      </c>
      <c r="E145" s="13" t="n">
        <v>257545</v>
      </c>
      <c r="F145" s="13" t="n">
        <v>146096</v>
      </c>
      <c r="G145" s="12" t="n">
        <v>3.5</v>
      </c>
      <c r="H145" s="19" t="n">
        <f aca="false">E145-F145</f>
        <v>111449</v>
      </c>
    </row>
    <row r="146" customFormat="false" ht="15" hidden="false" customHeight="false" outlineLevel="0" collapsed="false">
      <c r="B146" s="18" t="n">
        <v>46142</v>
      </c>
      <c r="C146" s="12" t="s">
        <v>22</v>
      </c>
      <c r="D146" s="12" t="n">
        <v>134</v>
      </c>
      <c r="E146" s="13" t="n">
        <v>116664</v>
      </c>
      <c r="F146" s="13" t="n">
        <v>123031</v>
      </c>
      <c r="G146" s="12" t="n">
        <v>6.6</v>
      </c>
      <c r="H146" s="19" t="n">
        <f aca="false">E146-F146</f>
        <v>-6367</v>
      </c>
    </row>
    <row r="147" customFormat="false" ht="15" hidden="false" customHeight="false" outlineLevel="0" collapsed="false">
      <c r="B147" s="18" t="n">
        <v>46142</v>
      </c>
      <c r="C147" s="12" t="s">
        <v>25</v>
      </c>
      <c r="D147" s="12" t="n">
        <v>109</v>
      </c>
      <c r="E147" s="13" t="n">
        <v>212080</v>
      </c>
      <c r="F147" s="13" t="n">
        <v>172634</v>
      </c>
      <c r="G147" s="12" t="n">
        <v>6.1</v>
      </c>
      <c r="H147" s="19" t="n">
        <f aca="false">E147-F147</f>
        <v>39446</v>
      </c>
    </row>
    <row r="148" customFormat="false" ht="15" hidden="false" customHeight="false" outlineLevel="0" collapsed="false">
      <c r="B148" s="18" t="n">
        <v>46143</v>
      </c>
      <c r="C148" s="12" t="s">
        <v>13</v>
      </c>
      <c r="D148" s="12" t="n">
        <v>133</v>
      </c>
      <c r="E148" s="13" t="n">
        <v>184751</v>
      </c>
      <c r="F148" s="13" t="n">
        <v>168444</v>
      </c>
      <c r="G148" s="12" t="n">
        <v>4.2</v>
      </c>
      <c r="H148" s="19" t="n">
        <f aca="false">E148-F148</f>
        <v>16307</v>
      </c>
    </row>
    <row r="149" customFormat="false" ht="15" hidden="false" customHeight="false" outlineLevel="0" collapsed="false">
      <c r="B149" s="18" t="n">
        <v>46143</v>
      </c>
      <c r="C149" s="12" t="s">
        <v>16</v>
      </c>
      <c r="D149" s="12" t="n">
        <v>169</v>
      </c>
      <c r="E149" s="13" t="n">
        <v>155153</v>
      </c>
      <c r="F149" s="13" t="n">
        <v>178300</v>
      </c>
      <c r="G149" s="12" t="n">
        <v>7.9</v>
      </c>
      <c r="H149" s="19" t="n">
        <f aca="false">E149-F149</f>
        <v>-23147</v>
      </c>
    </row>
    <row r="150" customFormat="false" ht="15" hidden="false" customHeight="false" outlineLevel="0" collapsed="false">
      <c r="B150" s="18" t="n">
        <v>46143</v>
      </c>
      <c r="C150" s="12" t="s">
        <v>19</v>
      </c>
      <c r="D150" s="12" t="n">
        <v>91</v>
      </c>
      <c r="E150" s="13" t="n">
        <v>108006</v>
      </c>
      <c r="F150" s="13" t="n">
        <v>175980</v>
      </c>
      <c r="G150" s="12" t="n">
        <v>5.7</v>
      </c>
      <c r="H150" s="19" t="n">
        <f aca="false">E150-F150</f>
        <v>-67974</v>
      </c>
    </row>
    <row r="151" customFormat="false" ht="15" hidden="false" customHeight="false" outlineLevel="0" collapsed="false">
      <c r="B151" s="18" t="n">
        <v>46143</v>
      </c>
      <c r="C151" s="12" t="s">
        <v>22</v>
      </c>
      <c r="D151" s="12" t="n">
        <v>137</v>
      </c>
      <c r="E151" s="13" t="n">
        <v>149239</v>
      </c>
      <c r="F151" s="13" t="n">
        <v>65334</v>
      </c>
      <c r="G151" s="12" t="n">
        <v>7.5</v>
      </c>
      <c r="H151" s="19" t="n">
        <f aca="false">E151-F151</f>
        <v>83905</v>
      </c>
    </row>
    <row r="152" customFormat="false" ht="15" hidden="false" customHeight="false" outlineLevel="0" collapsed="false">
      <c r="B152" s="18" t="n">
        <v>46143</v>
      </c>
      <c r="C152" s="12" t="s">
        <v>25</v>
      </c>
      <c r="D152" s="12" t="n">
        <v>208</v>
      </c>
      <c r="E152" s="13" t="n">
        <v>137053</v>
      </c>
      <c r="F152" s="13" t="n">
        <v>132252</v>
      </c>
      <c r="G152" s="12" t="n">
        <v>6.7</v>
      </c>
      <c r="H152" s="19" t="n">
        <f aca="false">E152-F152</f>
        <v>4801</v>
      </c>
    </row>
    <row r="153" customFormat="false" ht="15" hidden="false" customHeight="false" outlineLevel="0" collapsed="false">
      <c r="B153" s="18" t="n">
        <v>46146</v>
      </c>
      <c r="C153" s="12" t="s">
        <v>13</v>
      </c>
      <c r="D153" s="12" t="n">
        <v>90</v>
      </c>
      <c r="E153" s="13" t="n">
        <v>253584</v>
      </c>
      <c r="F153" s="13" t="n">
        <v>93491</v>
      </c>
      <c r="G153" s="12" t="n">
        <v>5.5</v>
      </c>
      <c r="H153" s="19" t="n">
        <f aca="false">E153-F153</f>
        <v>160093</v>
      </c>
    </row>
    <row r="154" customFormat="false" ht="15" hidden="false" customHeight="false" outlineLevel="0" collapsed="false">
      <c r="B154" s="18" t="n">
        <v>46146</v>
      </c>
      <c r="C154" s="12" t="s">
        <v>16</v>
      </c>
      <c r="D154" s="12" t="n">
        <v>151</v>
      </c>
      <c r="E154" s="13" t="n">
        <v>195556</v>
      </c>
      <c r="F154" s="13" t="n">
        <v>64711</v>
      </c>
      <c r="G154" s="12" t="n">
        <v>7.3</v>
      </c>
      <c r="H154" s="19" t="n">
        <f aca="false">E154-F154</f>
        <v>130845</v>
      </c>
    </row>
    <row r="155" customFormat="false" ht="15" hidden="false" customHeight="false" outlineLevel="0" collapsed="false">
      <c r="B155" s="18" t="n">
        <v>46146</v>
      </c>
      <c r="C155" s="12" t="s">
        <v>19</v>
      </c>
      <c r="D155" s="12" t="n">
        <v>159</v>
      </c>
      <c r="E155" s="13" t="n">
        <v>106310</v>
      </c>
      <c r="F155" s="13" t="n">
        <v>96279</v>
      </c>
      <c r="G155" s="12" t="n">
        <v>2.7</v>
      </c>
      <c r="H155" s="19" t="n">
        <f aca="false">E155-F155</f>
        <v>10031</v>
      </c>
    </row>
    <row r="156" customFormat="false" ht="15" hidden="false" customHeight="false" outlineLevel="0" collapsed="false">
      <c r="B156" s="18" t="n">
        <v>46146</v>
      </c>
      <c r="C156" s="12" t="s">
        <v>22</v>
      </c>
      <c r="D156" s="12" t="n">
        <v>174</v>
      </c>
      <c r="E156" s="13" t="n">
        <v>195891</v>
      </c>
      <c r="F156" s="13" t="n">
        <v>67422</v>
      </c>
      <c r="G156" s="12" t="n">
        <v>3</v>
      </c>
      <c r="H156" s="19" t="n">
        <f aca="false">E156-F156</f>
        <v>128469</v>
      </c>
    </row>
    <row r="157" customFormat="false" ht="15" hidden="false" customHeight="false" outlineLevel="0" collapsed="false">
      <c r="B157" s="18" t="n">
        <v>46146</v>
      </c>
      <c r="C157" s="12" t="s">
        <v>25</v>
      </c>
      <c r="D157" s="12" t="n">
        <v>109</v>
      </c>
      <c r="E157" s="13" t="n">
        <v>108689</v>
      </c>
      <c r="F157" s="13" t="n">
        <v>155644</v>
      </c>
      <c r="G157" s="12" t="n">
        <v>3.1</v>
      </c>
      <c r="H157" s="19" t="n">
        <f aca="false">E157-F157</f>
        <v>-46955</v>
      </c>
    </row>
    <row r="158" customFormat="false" ht="15" hidden="false" customHeight="false" outlineLevel="0" collapsed="false">
      <c r="B158" s="18" t="n">
        <v>46147</v>
      </c>
      <c r="C158" s="12" t="s">
        <v>13</v>
      </c>
      <c r="D158" s="12" t="n">
        <v>135</v>
      </c>
      <c r="E158" s="13" t="n">
        <v>229273</v>
      </c>
      <c r="F158" s="13" t="n">
        <v>187396</v>
      </c>
      <c r="G158" s="12" t="n">
        <v>8.7</v>
      </c>
      <c r="H158" s="19" t="n">
        <f aca="false">E158-F158</f>
        <v>41877</v>
      </c>
    </row>
    <row r="159" customFormat="false" ht="15" hidden="false" customHeight="false" outlineLevel="0" collapsed="false">
      <c r="B159" s="18" t="n">
        <v>46147</v>
      </c>
      <c r="C159" s="12" t="s">
        <v>16</v>
      </c>
      <c r="D159" s="12" t="n">
        <v>209</v>
      </c>
      <c r="E159" s="13" t="n">
        <v>230816</v>
      </c>
      <c r="F159" s="13" t="n">
        <v>60184</v>
      </c>
      <c r="G159" s="12" t="n">
        <v>5.8</v>
      </c>
      <c r="H159" s="19" t="n">
        <f aca="false">E159-F159</f>
        <v>170632</v>
      </c>
    </row>
    <row r="160" customFormat="false" ht="15" hidden="false" customHeight="false" outlineLevel="0" collapsed="false">
      <c r="B160" s="18" t="n">
        <v>46147</v>
      </c>
      <c r="C160" s="12" t="s">
        <v>19</v>
      </c>
      <c r="D160" s="12" t="n">
        <v>94</v>
      </c>
      <c r="E160" s="13" t="n">
        <v>242154</v>
      </c>
      <c r="F160" s="13" t="n">
        <v>149081</v>
      </c>
      <c r="G160" s="12" t="n">
        <v>6.4</v>
      </c>
      <c r="H160" s="19" t="n">
        <f aca="false">E160-F160</f>
        <v>93073</v>
      </c>
    </row>
    <row r="161" customFormat="false" ht="15" hidden="false" customHeight="false" outlineLevel="0" collapsed="false">
      <c r="B161" s="18" t="n">
        <v>46147</v>
      </c>
      <c r="C161" s="12" t="s">
        <v>22</v>
      </c>
      <c r="D161" s="12" t="n">
        <v>178</v>
      </c>
      <c r="E161" s="13" t="n">
        <v>100829</v>
      </c>
      <c r="F161" s="13" t="n">
        <v>166559</v>
      </c>
      <c r="G161" s="12" t="n">
        <v>7.8</v>
      </c>
      <c r="H161" s="19" t="n">
        <f aca="false">E161-F161</f>
        <v>-65730</v>
      </c>
    </row>
    <row r="162" customFormat="false" ht="15" hidden="false" customHeight="false" outlineLevel="0" collapsed="false">
      <c r="B162" s="18" t="n">
        <v>46147</v>
      </c>
      <c r="C162" s="12" t="s">
        <v>25</v>
      </c>
      <c r="D162" s="12" t="n">
        <v>111</v>
      </c>
      <c r="E162" s="13" t="n">
        <v>236061</v>
      </c>
      <c r="F162" s="13" t="n">
        <v>114890</v>
      </c>
      <c r="G162" s="12" t="n">
        <v>9.2</v>
      </c>
      <c r="H162" s="19" t="n">
        <f aca="false">E162-F162</f>
        <v>121171</v>
      </c>
    </row>
    <row r="163" customFormat="false" ht="15" hidden="false" customHeight="false" outlineLevel="0" collapsed="false">
      <c r="B163" s="18" t="n">
        <v>46148</v>
      </c>
      <c r="C163" s="12" t="s">
        <v>13</v>
      </c>
      <c r="D163" s="12" t="n">
        <v>129</v>
      </c>
      <c r="E163" s="13" t="n">
        <v>111095</v>
      </c>
      <c r="F163" s="13" t="n">
        <v>100499</v>
      </c>
      <c r="G163" s="12" t="n">
        <v>3</v>
      </c>
      <c r="H163" s="19" t="n">
        <f aca="false">E163-F163</f>
        <v>10596</v>
      </c>
    </row>
    <row r="164" customFormat="false" ht="15" hidden="false" customHeight="false" outlineLevel="0" collapsed="false">
      <c r="B164" s="18" t="n">
        <v>46148</v>
      </c>
      <c r="C164" s="12" t="s">
        <v>16</v>
      </c>
      <c r="D164" s="12" t="n">
        <v>164</v>
      </c>
      <c r="E164" s="13" t="n">
        <v>210008</v>
      </c>
      <c r="F164" s="13" t="n">
        <v>134762</v>
      </c>
      <c r="G164" s="12" t="n">
        <v>7.7</v>
      </c>
      <c r="H164" s="19" t="n">
        <f aca="false">E164-F164</f>
        <v>75246</v>
      </c>
    </row>
    <row r="165" customFormat="false" ht="15" hidden="false" customHeight="false" outlineLevel="0" collapsed="false">
      <c r="B165" s="18" t="n">
        <v>46148</v>
      </c>
      <c r="C165" s="12" t="s">
        <v>19</v>
      </c>
      <c r="D165" s="12" t="n">
        <v>196</v>
      </c>
      <c r="E165" s="13" t="n">
        <v>131754</v>
      </c>
      <c r="F165" s="13" t="n">
        <v>190251</v>
      </c>
      <c r="G165" s="12" t="n">
        <v>3.9</v>
      </c>
      <c r="H165" s="19" t="n">
        <f aca="false">E165-F165</f>
        <v>-58497</v>
      </c>
    </row>
    <row r="166" customFormat="false" ht="15" hidden="false" customHeight="false" outlineLevel="0" collapsed="false">
      <c r="B166" s="18" t="n">
        <v>46148</v>
      </c>
      <c r="C166" s="12" t="s">
        <v>22</v>
      </c>
      <c r="D166" s="12" t="n">
        <v>188</v>
      </c>
      <c r="E166" s="13" t="n">
        <v>159154</v>
      </c>
      <c r="F166" s="13" t="n">
        <v>72274</v>
      </c>
      <c r="G166" s="12" t="n">
        <v>3</v>
      </c>
      <c r="H166" s="19" t="n">
        <f aca="false">E166-F166</f>
        <v>86880</v>
      </c>
    </row>
    <row r="167" customFormat="false" ht="15" hidden="false" customHeight="false" outlineLevel="0" collapsed="false">
      <c r="B167" s="18" t="n">
        <v>46148</v>
      </c>
      <c r="C167" s="12" t="s">
        <v>25</v>
      </c>
      <c r="D167" s="12" t="n">
        <v>205</v>
      </c>
      <c r="E167" s="13" t="n">
        <v>131755</v>
      </c>
      <c r="F167" s="13" t="n">
        <v>183825</v>
      </c>
      <c r="G167" s="12" t="n">
        <v>2.6</v>
      </c>
      <c r="H167" s="19" t="n">
        <f aca="false">E167-F167</f>
        <v>-52070</v>
      </c>
    </row>
    <row r="168" customFormat="false" ht="15" hidden="false" customHeight="false" outlineLevel="0" collapsed="false">
      <c r="B168" s="18" t="n">
        <v>46149</v>
      </c>
      <c r="C168" s="12" t="s">
        <v>13</v>
      </c>
      <c r="D168" s="12" t="n">
        <v>102</v>
      </c>
      <c r="E168" s="13" t="n">
        <v>191792</v>
      </c>
      <c r="F168" s="13" t="n">
        <v>196397</v>
      </c>
      <c r="G168" s="12" t="n">
        <v>3</v>
      </c>
      <c r="H168" s="19" t="n">
        <f aca="false">E168-F168</f>
        <v>-4605</v>
      </c>
    </row>
    <row r="169" customFormat="false" ht="15" hidden="false" customHeight="false" outlineLevel="0" collapsed="false">
      <c r="B169" s="18" t="n">
        <v>46149</v>
      </c>
      <c r="C169" s="12" t="s">
        <v>16</v>
      </c>
      <c r="D169" s="12" t="n">
        <v>168</v>
      </c>
      <c r="E169" s="13" t="n">
        <v>135082</v>
      </c>
      <c r="F169" s="13" t="n">
        <v>92019</v>
      </c>
      <c r="G169" s="12" t="n">
        <v>6.7</v>
      </c>
      <c r="H169" s="19" t="n">
        <f aca="false">E169-F169</f>
        <v>43063</v>
      </c>
    </row>
    <row r="170" customFormat="false" ht="15" hidden="false" customHeight="false" outlineLevel="0" collapsed="false">
      <c r="B170" s="18" t="n">
        <v>46149</v>
      </c>
      <c r="C170" s="12" t="s">
        <v>19</v>
      </c>
      <c r="D170" s="12" t="n">
        <v>172</v>
      </c>
      <c r="E170" s="13" t="n">
        <v>82801</v>
      </c>
      <c r="F170" s="13" t="n">
        <v>138971</v>
      </c>
      <c r="G170" s="12" t="n">
        <v>9.1</v>
      </c>
      <c r="H170" s="19" t="n">
        <f aca="false">E170-F170</f>
        <v>-56170</v>
      </c>
    </row>
    <row r="171" customFormat="false" ht="15" hidden="false" customHeight="false" outlineLevel="0" collapsed="false">
      <c r="B171" s="18" t="n">
        <v>46149</v>
      </c>
      <c r="C171" s="12" t="s">
        <v>22</v>
      </c>
      <c r="D171" s="12" t="n">
        <v>95</v>
      </c>
      <c r="E171" s="13" t="n">
        <v>250110</v>
      </c>
      <c r="F171" s="13" t="n">
        <v>103516</v>
      </c>
      <c r="G171" s="12" t="n">
        <v>6.2</v>
      </c>
      <c r="H171" s="19" t="n">
        <f aca="false">E171-F171</f>
        <v>146594</v>
      </c>
    </row>
    <row r="172" customFormat="false" ht="15" hidden="false" customHeight="false" outlineLevel="0" collapsed="false">
      <c r="B172" s="18" t="n">
        <v>46149</v>
      </c>
      <c r="C172" s="12" t="s">
        <v>25</v>
      </c>
      <c r="D172" s="12" t="n">
        <v>99</v>
      </c>
      <c r="E172" s="13" t="n">
        <v>156505</v>
      </c>
      <c r="F172" s="13" t="n">
        <v>172657</v>
      </c>
      <c r="G172" s="12" t="n">
        <v>2.5</v>
      </c>
      <c r="H172" s="19" t="n">
        <f aca="false">E172-F172</f>
        <v>-16152</v>
      </c>
    </row>
    <row r="173" customFormat="false" ht="15" hidden="false" customHeight="false" outlineLevel="0" collapsed="false">
      <c r="B173" s="18" t="n">
        <v>46150</v>
      </c>
      <c r="C173" s="12" t="s">
        <v>13</v>
      </c>
      <c r="D173" s="12" t="n">
        <v>198</v>
      </c>
      <c r="E173" s="13" t="n">
        <v>115012</v>
      </c>
      <c r="F173" s="13" t="n">
        <v>170642</v>
      </c>
      <c r="G173" s="12" t="n">
        <v>2.9</v>
      </c>
      <c r="H173" s="19" t="n">
        <f aca="false">E173-F173</f>
        <v>-55630</v>
      </c>
    </row>
    <row r="174" customFormat="false" ht="15" hidden="false" customHeight="false" outlineLevel="0" collapsed="false">
      <c r="B174" s="18" t="n">
        <v>46150</v>
      </c>
      <c r="C174" s="12" t="s">
        <v>16</v>
      </c>
      <c r="D174" s="12" t="n">
        <v>129</v>
      </c>
      <c r="E174" s="13" t="n">
        <v>123647</v>
      </c>
      <c r="F174" s="13" t="n">
        <v>155596</v>
      </c>
      <c r="G174" s="12" t="n">
        <v>7.9</v>
      </c>
      <c r="H174" s="19" t="n">
        <f aca="false">E174-F174</f>
        <v>-31949</v>
      </c>
    </row>
    <row r="175" customFormat="false" ht="15" hidden="false" customHeight="false" outlineLevel="0" collapsed="false">
      <c r="B175" s="18" t="n">
        <v>46150</v>
      </c>
      <c r="C175" s="12" t="s">
        <v>19</v>
      </c>
      <c r="D175" s="12" t="n">
        <v>188</v>
      </c>
      <c r="E175" s="13" t="n">
        <v>145154</v>
      </c>
      <c r="F175" s="13" t="n">
        <v>138454</v>
      </c>
      <c r="G175" s="12" t="n">
        <v>8.6</v>
      </c>
      <c r="H175" s="19" t="n">
        <f aca="false">E175-F175</f>
        <v>6700</v>
      </c>
    </row>
    <row r="176" customFormat="false" ht="15" hidden="false" customHeight="false" outlineLevel="0" collapsed="false">
      <c r="B176" s="18" t="n">
        <v>46150</v>
      </c>
      <c r="C176" s="12" t="s">
        <v>22</v>
      </c>
      <c r="D176" s="12" t="n">
        <v>212</v>
      </c>
      <c r="E176" s="13" t="n">
        <v>134077</v>
      </c>
      <c r="F176" s="13" t="n">
        <v>66027</v>
      </c>
      <c r="G176" s="12" t="n">
        <v>3.2</v>
      </c>
      <c r="H176" s="19" t="n">
        <f aca="false">E176-F176</f>
        <v>68050</v>
      </c>
    </row>
    <row r="177" customFormat="false" ht="15" hidden="false" customHeight="false" outlineLevel="0" collapsed="false">
      <c r="B177" s="18" t="n">
        <v>46150</v>
      </c>
      <c r="C177" s="12" t="s">
        <v>25</v>
      </c>
      <c r="D177" s="12" t="n">
        <v>133</v>
      </c>
      <c r="E177" s="13" t="n">
        <v>94631</v>
      </c>
      <c r="F177" s="13" t="n">
        <v>124573</v>
      </c>
      <c r="G177" s="12" t="n">
        <v>4</v>
      </c>
      <c r="H177" s="19" t="n">
        <f aca="false">E177-F177</f>
        <v>-29942</v>
      </c>
    </row>
    <row r="178" customFormat="false" ht="15" hidden="false" customHeight="false" outlineLevel="0" collapsed="false">
      <c r="B178" s="18" t="n">
        <v>46153</v>
      </c>
      <c r="C178" s="12" t="s">
        <v>13</v>
      </c>
      <c r="D178" s="12" t="n">
        <v>181</v>
      </c>
      <c r="E178" s="13" t="n">
        <v>235673</v>
      </c>
      <c r="F178" s="13" t="n">
        <v>164669</v>
      </c>
      <c r="G178" s="12" t="n">
        <v>8.4</v>
      </c>
      <c r="H178" s="19" t="n">
        <f aca="false">E178-F178</f>
        <v>71004</v>
      </c>
    </row>
    <row r="179" customFormat="false" ht="15" hidden="false" customHeight="false" outlineLevel="0" collapsed="false">
      <c r="B179" s="18" t="n">
        <v>46153</v>
      </c>
      <c r="C179" s="12" t="s">
        <v>16</v>
      </c>
      <c r="D179" s="12" t="n">
        <v>163</v>
      </c>
      <c r="E179" s="13" t="n">
        <v>83030</v>
      </c>
      <c r="F179" s="13" t="n">
        <v>63760</v>
      </c>
      <c r="G179" s="12" t="n">
        <v>7.7</v>
      </c>
      <c r="H179" s="19" t="n">
        <f aca="false">E179-F179</f>
        <v>19270</v>
      </c>
    </row>
    <row r="180" customFormat="false" ht="15" hidden="false" customHeight="false" outlineLevel="0" collapsed="false">
      <c r="B180" s="18" t="n">
        <v>46153</v>
      </c>
      <c r="C180" s="12" t="s">
        <v>19</v>
      </c>
      <c r="D180" s="12" t="n">
        <v>138</v>
      </c>
      <c r="E180" s="13" t="n">
        <v>147740</v>
      </c>
      <c r="F180" s="13" t="n">
        <v>77287</v>
      </c>
      <c r="G180" s="12" t="n">
        <v>6.4</v>
      </c>
      <c r="H180" s="19" t="n">
        <f aca="false">E180-F180</f>
        <v>70453</v>
      </c>
    </row>
    <row r="181" customFormat="false" ht="15" hidden="false" customHeight="false" outlineLevel="0" collapsed="false">
      <c r="B181" s="18" t="n">
        <v>46153</v>
      </c>
      <c r="C181" s="12" t="s">
        <v>22</v>
      </c>
      <c r="D181" s="12" t="n">
        <v>151</v>
      </c>
      <c r="E181" s="13" t="n">
        <v>116259</v>
      </c>
      <c r="F181" s="13" t="n">
        <v>87379</v>
      </c>
      <c r="G181" s="12" t="n">
        <v>5.4</v>
      </c>
      <c r="H181" s="19" t="n">
        <f aca="false">E181-F181</f>
        <v>28880</v>
      </c>
    </row>
    <row r="182" customFormat="false" ht="15" hidden="false" customHeight="false" outlineLevel="0" collapsed="false">
      <c r="B182" s="18" t="n">
        <v>46153</v>
      </c>
      <c r="C182" s="12" t="s">
        <v>25</v>
      </c>
      <c r="D182" s="12" t="n">
        <v>190</v>
      </c>
      <c r="E182" s="13" t="n">
        <v>195981</v>
      </c>
      <c r="F182" s="13" t="n">
        <v>137223</v>
      </c>
      <c r="G182" s="12" t="n">
        <v>4.7</v>
      </c>
      <c r="H182" s="19" t="n">
        <f aca="false">E182-F182</f>
        <v>58758</v>
      </c>
    </row>
    <row r="183" customFormat="false" ht="15" hidden="false" customHeight="false" outlineLevel="0" collapsed="false">
      <c r="B183" s="18" t="n">
        <v>46154</v>
      </c>
      <c r="C183" s="12" t="s">
        <v>13</v>
      </c>
      <c r="D183" s="12" t="n">
        <v>155</v>
      </c>
      <c r="E183" s="13" t="n">
        <v>96899</v>
      </c>
      <c r="F183" s="13" t="n">
        <v>171089</v>
      </c>
      <c r="G183" s="12" t="n">
        <v>4.5</v>
      </c>
      <c r="H183" s="19" t="n">
        <f aca="false">E183-F183</f>
        <v>-74190</v>
      </c>
    </row>
    <row r="184" customFormat="false" ht="15" hidden="false" customHeight="false" outlineLevel="0" collapsed="false">
      <c r="B184" s="18" t="n">
        <v>46154</v>
      </c>
      <c r="C184" s="12" t="s">
        <v>16</v>
      </c>
      <c r="D184" s="12" t="n">
        <v>148</v>
      </c>
      <c r="E184" s="13" t="n">
        <v>193884</v>
      </c>
      <c r="F184" s="13" t="n">
        <v>92125</v>
      </c>
      <c r="G184" s="12" t="n">
        <v>5.9</v>
      </c>
      <c r="H184" s="19" t="n">
        <f aca="false">E184-F184</f>
        <v>101759</v>
      </c>
    </row>
    <row r="185" customFormat="false" ht="15" hidden="false" customHeight="false" outlineLevel="0" collapsed="false">
      <c r="B185" s="18" t="n">
        <v>46154</v>
      </c>
      <c r="C185" s="12" t="s">
        <v>19</v>
      </c>
      <c r="D185" s="12" t="n">
        <v>152</v>
      </c>
      <c r="E185" s="13" t="n">
        <v>107623</v>
      </c>
      <c r="F185" s="13" t="n">
        <v>77479</v>
      </c>
      <c r="G185" s="12" t="n">
        <v>3.9</v>
      </c>
      <c r="H185" s="19" t="n">
        <f aca="false">E185-F185</f>
        <v>30144</v>
      </c>
    </row>
    <row r="186" customFormat="false" ht="15" hidden="false" customHeight="false" outlineLevel="0" collapsed="false">
      <c r="B186" s="18" t="n">
        <v>46154</v>
      </c>
      <c r="C186" s="12" t="s">
        <v>22</v>
      </c>
      <c r="D186" s="12" t="n">
        <v>175</v>
      </c>
      <c r="E186" s="13" t="n">
        <v>137226</v>
      </c>
      <c r="F186" s="13" t="n">
        <v>104279</v>
      </c>
      <c r="G186" s="12" t="n">
        <v>7.2</v>
      </c>
      <c r="H186" s="19" t="n">
        <f aca="false">E186-F186</f>
        <v>32947</v>
      </c>
    </row>
    <row r="187" customFormat="false" ht="15" hidden="false" customHeight="false" outlineLevel="0" collapsed="false">
      <c r="B187" s="18" t="n">
        <v>46154</v>
      </c>
      <c r="C187" s="12" t="s">
        <v>25</v>
      </c>
      <c r="D187" s="12" t="n">
        <v>178</v>
      </c>
      <c r="E187" s="13" t="n">
        <v>184535</v>
      </c>
      <c r="F187" s="13" t="n">
        <v>124976</v>
      </c>
      <c r="G187" s="12" t="n">
        <v>3.8</v>
      </c>
      <c r="H187" s="19" t="n">
        <f aca="false">E187-F187</f>
        <v>59559</v>
      </c>
    </row>
    <row r="188" customFormat="false" ht="15" hidden="false" customHeight="false" outlineLevel="0" collapsed="false">
      <c r="B188" s="18" t="n">
        <v>46155</v>
      </c>
      <c r="C188" s="12" t="s">
        <v>13</v>
      </c>
      <c r="D188" s="12" t="n">
        <v>171</v>
      </c>
      <c r="E188" s="13" t="n">
        <v>112483</v>
      </c>
      <c r="F188" s="13" t="n">
        <v>80706</v>
      </c>
      <c r="G188" s="12" t="n">
        <v>7.3</v>
      </c>
      <c r="H188" s="19" t="n">
        <f aca="false">E188-F188</f>
        <v>31777</v>
      </c>
    </row>
    <row r="189" customFormat="false" ht="15" hidden="false" customHeight="false" outlineLevel="0" collapsed="false">
      <c r="B189" s="18" t="n">
        <v>46155</v>
      </c>
      <c r="C189" s="12" t="s">
        <v>16</v>
      </c>
      <c r="D189" s="12" t="n">
        <v>195</v>
      </c>
      <c r="E189" s="13" t="n">
        <v>202448</v>
      </c>
      <c r="F189" s="13" t="n">
        <v>170540</v>
      </c>
      <c r="G189" s="12" t="n">
        <v>5.2</v>
      </c>
      <c r="H189" s="19" t="n">
        <f aca="false">E189-F189</f>
        <v>31908</v>
      </c>
    </row>
    <row r="190" customFormat="false" ht="15" hidden="false" customHeight="false" outlineLevel="0" collapsed="false">
      <c r="B190" s="18" t="n">
        <v>46155</v>
      </c>
      <c r="C190" s="12" t="s">
        <v>19</v>
      </c>
      <c r="D190" s="12" t="n">
        <v>109</v>
      </c>
      <c r="E190" s="13" t="n">
        <v>176099</v>
      </c>
      <c r="F190" s="13" t="n">
        <v>168400</v>
      </c>
      <c r="G190" s="12" t="n">
        <v>6.1</v>
      </c>
      <c r="H190" s="19" t="n">
        <f aca="false">E190-F190</f>
        <v>7699</v>
      </c>
    </row>
    <row r="191" customFormat="false" ht="15" hidden="false" customHeight="false" outlineLevel="0" collapsed="false">
      <c r="B191" s="18" t="n">
        <v>46155</v>
      </c>
      <c r="C191" s="12" t="s">
        <v>22</v>
      </c>
      <c r="D191" s="12" t="n">
        <v>156</v>
      </c>
      <c r="E191" s="13" t="n">
        <v>157648</v>
      </c>
      <c r="F191" s="13" t="n">
        <v>158361</v>
      </c>
      <c r="G191" s="12" t="n">
        <v>5.9</v>
      </c>
      <c r="H191" s="19" t="n">
        <f aca="false">E191-F191</f>
        <v>-713</v>
      </c>
    </row>
    <row r="192" customFormat="false" ht="15" hidden="false" customHeight="false" outlineLevel="0" collapsed="false">
      <c r="B192" s="18" t="n">
        <v>46155</v>
      </c>
      <c r="C192" s="12" t="s">
        <v>25</v>
      </c>
      <c r="D192" s="12" t="n">
        <v>107</v>
      </c>
      <c r="E192" s="13" t="n">
        <v>219308</v>
      </c>
      <c r="F192" s="13" t="n">
        <v>98077</v>
      </c>
      <c r="G192" s="12" t="n">
        <v>8.9</v>
      </c>
      <c r="H192" s="19" t="n">
        <f aca="false">E192-F192</f>
        <v>121231</v>
      </c>
    </row>
    <row r="193" customFormat="false" ht="15" hidden="false" customHeight="false" outlineLevel="0" collapsed="false">
      <c r="B193" s="18" t="n">
        <v>46156</v>
      </c>
      <c r="C193" s="12" t="s">
        <v>13</v>
      </c>
      <c r="D193" s="12" t="n">
        <v>106</v>
      </c>
      <c r="E193" s="13" t="n">
        <v>172567</v>
      </c>
      <c r="F193" s="13" t="n">
        <v>63404</v>
      </c>
      <c r="G193" s="12" t="n">
        <v>6.9</v>
      </c>
      <c r="H193" s="19" t="n">
        <f aca="false">E193-F193</f>
        <v>109163</v>
      </c>
    </row>
    <row r="194" customFormat="false" ht="15" hidden="false" customHeight="false" outlineLevel="0" collapsed="false">
      <c r="B194" s="18" t="n">
        <v>46156</v>
      </c>
      <c r="C194" s="12" t="s">
        <v>16</v>
      </c>
      <c r="D194" s="12" t="n">
        <v>181</v>
      </c>
      <c r="E194" s="13" t="n">
        <v>189482</v>
      </c>
      <c r="F194" s="13" t="n">
        <v>168761</v>
      </c>
      <c r="G194" s="12" t="n">
        <v>7.7</v>
      </c>
      <c r="H194" s="19" t="n">
        <f aca="false">E194-F194</f>
        <v>20721</v>
      </c>
    </row>
    <row r="195" customFormat="false" ht="15" hidden="false" customHeight="false" outlineLevel="0" collapsed="false">
      <c r="B195" s="18" t="n">
        <v>46156</v>
      </c>
      <c r="C195" s="12" t="s">
        <v>19</v>
      </c>
      <c r="D195" s="12" t="n">
        <v>189</v>
      </c>
      <c r="E195" s="13" t="n">
        <v>121212</v>
      </c>
      <c r="F195" s="13" t="n">
        <v>88166</v>
      </c>
      <c r="G195" s="12" t="n">
        <v>7.1</v>
      </c>
      <c r="H195" s="19" t="n">
        <f aca="false">E195-F195</f>
        <v>33046</v>
      </c>
    </row>
    <row r="196" customFormat="false" ht="15" hidden="false" customHeight="false" outlineLevel="0" collapsed="false">
      <c r="B196" s="18" t="n">
        <v>46156</v>
      </c>
      <c r="C196" s="12" t="s">
        <v>22</v>
      </c>
      <c r="D196" s="12" t="n">
        <v>191</v>
      </c>
      <c r="E196" s="13" t="n">
        <v>245599</v>
      </c>
      <c r="F196" s="13" t="n">
        <v>192073</v>
      </c>
      <c r="G196" s="12" t="n">
        <v>3.2</v>
      </c>
      <c r="H196" s="19" t="n">
        <f aca="false">E196-F196</f>
        <v>53526</v>
      </c>
    </row>
    <row r="197" customFormat="false" ht="15" hidden="false" customHeight="false" outlineLevel="0" collapsed="false">
      <c r="B197" s="18" t="n">
        <v>46156</v>
      </c>
      <c r="C197" s="12" t="s">
        <v>25</v>
      </c>
      <c r="D197" s="12" t="n">
        <v>142</v>
      </c>
      <c r="E197" s="13" t="n">
        <v>112597</v>
      </c>
      <c r="F197" s="13" t="n">
        <v>163807</v>
      </c>
      <c r="G197" s="12" t="n">
        <v>5.4</v>
      </c>
      <c r="H197" s="19" t="n">
        <f aca="false">E197-F197</f>
        <v>-51210</v>
      </c>
    </row>
    <row r="198" customFormat="false" ht="15" hidden="false" customHeight="false" outlineLevel="0" collapsed="false">
      <c r="B198" s="18" t="n">
        <v>46157</v>
      </c>
      <c r="C198" s="12" t="s">
        <v>13</v>
      </c>
      <c r="D198" s="12" t="n">
        <v>142</v>
      </c>
      <c r="E198" s="13" t="n">
        <v>185676</v>
      </c>
      <c r="F198" s="13" t="n">
        <v>78936</v>
      </c>
      <c r="G198" s="12" t="n">
        <v>8.5</v>
      </c>
      <c r="H198" s="19" t="n">
        <f aca="false">E198-F198</f>
        <v>106740</v>
      </c>
    </row>
    <row r="199" customFormat="false" ht="15" hidden="false" customHeight="false" outlineLevel="0" collapsed="false">
      <c r="B199" s="18" t="n">
        <v>46157</v>
      </c>
      <c r="C199" s="12" t="s">
        <v>16</v>
      </c>
      <c r="D199" s="12" t="n">
        <v>204</v>
      </c>
      <c r="E199" s="13" t="n">
        <v>195051</v>
      </c>
      <c r="F199" s="13" t="n">
        <v>61886</v>
      </c>
      <c r="G199" s="12" t="n">
        <v>5.1</v>
      </c>
      <c r="H199" s="19" t="n">
        <f aca="false">E199-F199</f>
        <v>133165</v>
      </c>
    </row>
    <row r="200" customFormat="false" ht="15" hidden="false" customHeight="false" outlineLevel="0" collapsed="false">
      <c r="B200" s="18" t="n">
        <v>46157</v>
      </c>
      <c r="C200" s="12" t="s">
        <v>19</v>
      </c>
      <c r="D200" s="12" t="n">
        <v>138</v>
      </c>
      <c r="E200" s="13" t="n">
        <v>154601</v>
      </c>
      <c r="F200" s="13" t="n">
        <v>190500</v>
      </c>
      <c r="G200" s="12" t="n">
        <v>8.4</v>
      </c>
      <c r="H200" s="19" t="n">
        <f aca="false">E200-F200</f>
        <v>-35899</v>
      </c>
    </row>
    <row r="201" customFormat="false" ht="15" hidden="false" customHeight="false" outlineLevel="0" collapsed="false">
      <c r="B201" s="18" t="n">
        <v>46157</v>
      </c>
      <c r="C201" s="12" t="s">
        <v>22</v>
      </c>
      <c r="D201" s="12" t="n">
        <v>136</v>
      </c>
      <c r="E201" s="13" t="n">
        <v>178209</v>
      </c>
      <c r="F201" s="13" t="n">
        <v>135314</v>
      </c>
      <c r="G201" s="12" t="n">
        <v>7.6</v>
      </c>
      <c r="H201" s="19" t="n">
        <f aca="false">E201-F201</f>
        <v>42895</v>
      </c>
    </row>
    <row r="202" customFormat="false" ht="15" hidden="false" customHeight="false" outlineLevel="0" collapsed="false">
      <c r="B202" s="18" t="n">
        <v>46157</v>
      </c>
      <c r="C202" s="12" t="s">
        <v>25</v>
      </c>
      <c r="D202" s="12" t="n">
        <v>157</v>
      </c>
      <c r="E202" s="13" t="n">
        <v>127851</v>
      </c>
      <c r="F202" s="13" t="n">
        <v>71490</v>
      </c>
      <c r="G202" s="12" t="n">
        <v>4.7</v>
      </c>
      <c r="H202" s="19" t="n">
        <f aca="false">E202-F202</f>
        <v>56361</v>
      </c>
    </row>
    <row r="203" customFormat="false" ht="15" hidden="false" customHeight="false" outlineLevel="0" collapsed="false">
      <c r="B203" s="18" t="n">
        <v>46160</v>
      </c>
      <c r="C203" s="12" t="s">
        <v>13</v>
      </c>
      <c r="D203" s="12" t="n">
        <v>112</v>
      </c>
      <c r="E203" s="13" t="n">
        <v>118527</v>
      </c>
      <c r="F203" s="13" t="n">
        <v>120827</v>
      </c>
      <c r="G203" s="12" t="n">
        <v>7.8</v>
      </c>
      <c r="H203" s="19" t="n">
        <f aca="false">E203-F203</f>
        <v>-2300</v>
      </c>
    </row>
    <row r="204" customFormat="false" ht="15" hidden="false" customHeight="false" outlineLevel="0" collapsed="false">
      <c r="B204" s="18" t="n">
        <v>46160</v>
      </c>
      <c r="C204" s="12" t="s">
        <v>16</v>
      </c>
      <c r="D204" s="12" t="n">
        <v>156</v>
      </c>
      <c r="E204" s="13" t="n">
        <v>156836</v>
      </c>
      <c r="F204" s="13" t="n">
        <v>155820</v>
      </c>
      <c r="G204" s="12" t="n">
        <v>2.7</v>
      </c>
      <c r="H204" s="19" t="n">
        <f aca="false">E204-F204</f>
        <v>1016</v>
      </c>
    </row>
    <row r="205" customFormat="false" ht="15" hidden="false" customHeight="false" outlineLevel="0" collapsed="false">
      <c r="B205" s="18" t="n">
        <v>46160</v>
      </c>
      <c r="C205" s="12" t="s">
        <v>19</v>
      </c>
      <c r="D205" s="12" t="n">
        <v>112</v>
      </c>
      <c r="E205" s="13" t="n">
        <v>126434</v>
      </c>
      <c r="F205" s="13" t="n">
        <v>159584</v>
      </c>
      <c r="G205" s="12" t="n">
        <v>5.8</v>
      </c>
      <c r="H205" s="19" t="n">
        <f aca="false">E205-F205</f>
        <v>-33150</v>
      </c>
    </row>
    <row r="206" customFormat="false" ht="15" hidden="false" customHeight="false" outlineLevel="0" collapsed="false">
      <c r="B206" s="18" t="n">
        <v>46160</v>
      </c>
      <c r="C206" s="12" t="s">
        <v>22</v>
      </c>
      <c r="D206" s="12" t="n">
        <v>179</v>
      </c>
      <c r="E206" s="13" t="n">
        <v>188867</v>
      </c>
      <c r="F206" s="13" t="n">
        <v>85766</v>
      </c>
      <c r="G206" s="12" t="n">
        <v>2.6</v>
      </c>
      <c r="H206" s="19" t="n">
        <f aca="false">E206-F206</f>
        <v>103101</v>
      </c>
    </row>
    <row r="207" customFormat="false" ht="15" hidden="false" customHeight="false" outlineLevel="0" collapsed="false">
      <c r="B207" s="18" t="n">
        <v>46160</v>
      </c>
      <c r="C207" s="12" t="s">
        <v>25</v>
      </c>
      <c r="D207" s="12" t="n">
        <v>156</v>
      </c>
      <c r="E207" s="13" t="n">
        <v>126460</v>
      </c>
      <c r="F207" s="13" t="n">
        <v>122582</v>
      </c>
      <c r="G207" s="12" t="n">
        <v>8.1</v>
      </c>
      <c r="H207" s="19" t="n">
        <f aca="false">E207-F207</f>
        <v>3878</v>
      </c>
    </row>
    <row r="208" customFormat="false" ht="15" hidden="false" customHeight="false" outlineLevel="0" collapsed="false">
      <c r="B208" s="18" t="n">
        <v>46161</v>
      </c>
      <c r="C208" s="12" t="s">
        <v>13</v>
      </c>
      <c r="D208" s="12" t="n">
        <v>92</v>
      </c>
      <c r="E208" s="13" t="n">
        <v>84263</v>
      </c>
      <c r="F208" s="13" t="n">
        <v>88040</v>
      </c>
      <c r="G208" s="12" t="n">
        <v>5.4</v>
      </c>
      <c r="H208" s="19" t="n">
        <f aca="false">E208-F208</f>
        <v>-3777</v>
      </c>
    </row>
    <row r="209" customFormat="false" ht="15" hidden="false" customHeight="false" outlineLevel="0" collapsed="false">
      <c r="B209" s="18" t="n">
        <v>46161</v>
      </c>
      <c r="C209" s="12" t="s">
        <v>16</v>
      </c>
      <c r="D209" s="12" t="n">
        <v>134</v>
      </c>
      <c r="E209" s="13" t="n">
        <v>133328</v>
      </c>
      <c r="F209" s="13" t="n">
        <v>178965</v>
      </c>
      <c r="G209" s="12" t="n">
        <v>7.8</v>
      </c>
      <c r="H209" s="19" t="n">
        <f aca="false">E209-F209</f>
        <v>-45637</v>
      </c>
    </row>
    <row r="210" customFormat="false" ht="15" hidden="false" customHeight="false" outlineLevel="0" collapsed="false">
      <c r="B210" s="18" t="n">
        <v>46161</v>
      </c>
      <c r="C210" s="12" t="s">
        <v>19</v>
      </c>
      <c r="D210" s="12" t="n">
        <v>137</v>
      </c>
      <c r="E210" s="13" t="n">
        <v>166803</v>
      </c>
      <c r="F210" s="13" t="n">
        <v>88023</v>
      </c>
      <c r="G210" s="12" t="n">
        <v>6.3</v>
      </c>
      <c r="H210" s="19" t="n">
        <f aca="false">E210-F210</f>
        <v>78780</v>
      </c>
    </row>
    <row r="211" customFormat="false" ht="15" hidden="false" customHeight="false" outlineLevel="0" collapsed="false">
      <c r="B211" s="18" t="n">
        <v>46161</v>
      </c>
      <c r="C211" s="12" t="s">
        <v>22</v>
      </c>
      <c r="D211" s="12" t="n">
        <v>200</v>
      </c>
      <c r="E211" s="13" t="n">
        <v>217682</v>
      </c>
      <c r="F211" s="13" t="n">
        <v>80983</v>
      </c>
      <c r="G211" s="12" t="n">
        <v>3.3</v>
      </c>
      <c r="H211" s="19" t="n">
        <f aca="false">E211-F211</f>
        <v>136699</v>
      </c>
    </row>
    <row r="212" customFormat="false" ht="15" hidden="false" customHeight="false" outlineLevel="0" collapsed="false">
      <c r="B212" s="18" t="n">
        <v>46161</v>
      </c>
      <c r="C212" s="12" t="s">
        <v>25</v>
      </c>
      <c r="D212" s="12" t="n">
        <v>192</v>
      </c>
      <c r="E212" s="13" t="n">
        <v>94195</v>
      </c>
      <c r="F212" s="13" t="n">
        <v>176993</v>
      </c>
      <c r="G212" s="12" t="n">
        <v>9</v>
      </c>
      <c r="H212" s="19" t="n">
        <f aca="false">E212-F212</f>
        <v>-82798</v>
      </c>
    </row>
    <row r="213" customFormat="false" ht="15" hidden="false" customHeight="false" outlineLevel="0" collapsed="false">
      <c r="B213" s="18" t="n">
        <v>46162</v>
      </c>
      <c r="C213" s="12" t="s">
        <v>13</v>
      </c>
      <c r="D213" s="12" t="n">
        <v>106</v>
      </c>
      <c r="E213" s="13" t="n">
        <v>244826</v>
      </c>
      <c r="F213" s="13" t="n">
        <v>141604</v>
      </c>
      <c r="G213" s="12" t="n">
        <v>4.3</v>
      </c>
      <c r="H213" s="19" t="n">
        <f aca="false">E213-F213</f>
        <v>103222</v>
      </c>
    </row>
    <row r="214" customFormat="false" ht="15" hidden="false" customHeight="false" outlineLevel="0" collapsed="false">
      <c r="B214" s="18" t="n">
        <v>46162</v>
      </c>
      <c r="C214" s="12" t="s">
        <v>16</v>
      </c>
      <c r="D214" s="12" t="n">
        <v>118</v>
      </c>
      <c r="E214" s="13" t="n">
        <v>205765</v>
      </c>
      <c r="F214" s="13" t="n">
        <v>79148</v>
      </c>
      <c r="G214" s="12" t="n">
        <v>5.8</v>
      </c>
      <c r="H214" s="19" t="n">
        <f aca="false">E214-F214</f>
        <v>126617</v>
      </c>
    </row>
    <row r="215" customFormat="false" ht="15" hidden="false" customHeight="false" outlineLevel="0" collapsed="false">
      <c r="B215" s="18" t="n">
        <v>46162</v>
      </c>
      <c r="C215" s="12" t="s">
        <v>19</v>
      </c>
      <c r="D215" s="12" t="n">
        <v>165</v>
      </c>
      <c r="E215" s="13" t="n">
        <v>247903</v>
      </c>
      <c r="F215" s="13" t="n">
        <v>175965</v>
      </c>
      <c r="G215" s="12" t="n">
        <v>3.7</v>
      </c>
      <c r="H215" s="19" t="n">
        <f aca="false">E215-F215</f>
        <v>71938</v>
      </c>
    </row>
    <row r="216" customFormat="false" ht="15" hidden="false" customHeight="false" outlineLevel="0" collapsed="false">
      <c r="B216" s="18" t="n">
        <v>46162</v>
      </c>
      <c r="C216" s="12" t="s">
        <v>22</v>
      </c>
      <c r="D216" s="12" t="n">
        <v>217</v>
      </c>
      <c r="E216" s="13" t="n">
        <v>131866</v>
      </c>
      <c r="F216" s="13" t="n">
        <v>128086</v>
      </c>
      <c r="G216" s="12" t="n">
        <v>8.6</v>
      </c>
      <c r="H216" s="19" t="n">
        <f aca="false">E216-F216</f>
        <v>3780</v>
      </c>
    </row>
    <row r="217" customFormat="false" ht="15" hidden="false" customHeight="false" outlineLevel="0" collapsed="false">
      <c r="B217" s="18" t="n">
        <v>46162</v>
      </c>
      <c r="C217" s="12" t="s">
        <v>25</v>
      </c>
      <c r="D217" s="12" t="n">
        <v>196</v>
      </c>
      <c r="E217" s="13" t="n">
        <v>163041</v>
      </c>
      <c r="F217" s="13" t="n">
        <v>130563</v>
      </c>
      <c r="G217" s="12" t="n">
        <v>5.1</v>
      </c>
      <c r="H217" s="19" t="n">
        <f aca="false">E217-F217</f>
        <v>32478</v>
      </c>
    </row>
    <row r="218" customFormat="false" ht="15" hidden="false" customHeight="false" outlineLevel="0" collapsed="false">
      <c r="B218" s="18" t="n">
        <v>46163</v>
      </c>
      <c r="C218" s="12" t="s">
        <v>13</v>
      </c>
      <c r="D218" s="12" t="n">
        <v>172</v>
      </c>
      <c r="E218" s="13" t="n">
        <v>245665</v>
      </c>
      <c r="F218" s="13" t="n">
        <v>68614</v>
      </c>
      <c r="G218" s="12" t="n">
        <v>3.1</v>
      </c>
      <c r="H218" s="19" t="n">
        <f aca="false">E218-F218</f>
        <v>177051</v>
      </c>
    </row>
    <row r="219" customFormat="false" ht="15" hidden="false" customHeight="false" outlineLevel="0" collapsed="false">
      <c r="B219" s="18" t="n">
        <v>46163</v>
      </c>
      <c r="C219" s="12" t="s">
        <v>16</v>
      </c>
      <c r="D219" s="12" t="n">
        <v>143</v>
      </c>
      <c r="E219" s="13" t="n">
        <v>191177</v>
      </c>
      <c r="F219" s="13" t="n">
        <v>136739</v>
      </c>
      <c r="G219" s="12" t="n">
        <v>4.9</v>
      </c>
      <c r="H219" s="19" t="n">
        <f aca="false">E219-F219</f>
        <v>54438</v>
      </c>
    </row>
    <row r="220" customFormat="false" ht="15" hidden="false" customHeight="false" outlineLevel="0" collapsed="false">
      <c r="B220" s="18" t="n">
        <v>46163</v>
      </c>
      <c r="C220" s="12" t="s">
        <v>19</v>
      </c>
      <c r="D220" s="12" t="n">
        <v>142</v>
      </c>
      <c r="E220" s="13" t="n">
        <v>181610</v>
      </c>
      <c r="F220" s="13" t="n">
        <v>73184</v>
      </c>
      <c r="G220" s="12" t="n">
        <v>7.8</v>
      </c>
      <c r="H220" s="19" t="n">
        <f aca="false">E220-F220</f>
        <v>108426</v>
      </c>
    </row>
    <row r="221" customFormat="false" ht="15" hidden="false" customHeight="false" outlineLevel="0" collapsed="false">
      <c r="B221" s="18" t="n">
        <v>46163</v>
      </c>
      <c r="C221" s="12" t="s">
        <v>22</v>
      </c>
      <c r="D221" s="12" t="n">
        <v>194</v>
      </c>
      <c r="E221" s="13" t="n">
        <v>212754</v>
      </c>
      <c r="F221" s="13" t="n">
        <v>62613</v>
      </c>
      <c r="G221" s="12" t="n">
        <v>7.8</v>
      </c>
      <c r="H221" s="19" t="n">
        <f aca="false">E221-F221</f>
        <v>150141</v>
      </c>
    </row>
    <row r="222" customFormat="false" ht="15" hidden="false" customHeight="false" outlineLevel="0" collapsed="false">
      <c r="B222" s="18" t="n">
        <v>46163</v>
      </c>
      <c r="C222" s="12" t="s">
        <v>25</v>
      </c>
      <c r="D222" s="12" t="n">
        <v>174</v>
      </c>
      <c r="E222" s="13" t="n">
        <v>152985</v>
      </c>
      <c r="F222" s="13" t="n">
        <v>140000</v>
      </c>
      <c r="G222" s="12" t="n">
        <v>3</v>
      </c>
      <c r="H222" s="19" t="n">
        <f aca="false">E222-F222</f>
        <v>12985</v>
      </c>
    </row>
    <row r="223" customFormat="false" ht="15" hidden="false" customHeight="false" outlineLevel="0" collapsed="false">
      <c r="B223" s="18" t="n">
        <v>46164</v>
      </c>
      <c r="C223" s="12" t="s">
        <v>13</v>
      </c>
      <c r="D223" s="12" t="n">
        <v>198</v>
      </c>
      <c r="E223" s="13" t="n">
        <v>101135</v>
      </c>
      <c r="F223" s="13" t="n">
        <v>73921</v>
      </c>
      <c r="G223" s="12" t="n">
        <v>4.6</v>
      </c>
      <c r="H223" s="19" t="n">
        <f aca="false">E223-F223</f>
        <v>27214</v>
      </c>
    </row>
    <row r="224" customFormat="false" ht="15" hidden="false" customHeight="false" outlineLevel="0" collapsed="false">
      <c r="B224" s="18" t="n">
        <v>46164</v>
      </c>
      <c r="C224" s="12" t="s">
        <v>16</v>
      </c>
      <c r="D224" s="12" t="n">
        <v>151</v>
      </c>
      <c r="E224" s="13" t="n">
        <v>255162</v>
      </c>
      <c r="F224" s="13" t="n">
        <v>114910</v>
      </c>
      <c r="G224" s="12" t="n">
        <v>3</v>
      </c>
      <c r="H224" s="19" t="n">
        <f aca="false">E224-F224</f>
        <v>140252</v>
      </c>
    </row>
    <row r="225" customFormat="false" ht="15" hidden="false" customHeight="false" outlineLevel="0" collapsed="false">
      <c r="B225" s="18" t="n">
        <v>46164</v>
      </c>
      <c r="C225" s="12" t="s">
        <v>19</v>
      </c>
      <c r="D225" s="12" t="n">
        <v>202</v>
      </c>
      <c r="E225" s="13" t="n">
        <v>85228</v>
      </c>
      <c r="F225" s="13" t="n">
        <v>93580</v>
      </c>
      <c r="G225" s="12" t="n">
        <v>5.7</v>
      </c>
      <c r="H225" s="19" t="n">
        <f aca="false">E225-F225</f>
        <v>-8352</v>
      </c>
    </row>
    <row r="226" customFormat="false" ht="15" hidden="false" customHeight="false" outlineLevel="0" collapsed="false">
      <c r="B226" s="18" t="n">
        <v>46164</v>
      </c>
      <c r="C226" s="12" t="s">
        <v>22</v>
      </c>
      <c r="D226" s="12" t="n">
        <v>143</v>
      </c>
      <c r="E226" s="13" t="n">
        <v>80982</v>
      </c>
      <c r="F226" s="13" t="n">
        <v>63131</v>
      </c>
      <c r="G226" s="12" t="n">
        <v>3.3</v>
      </c>
      <c r="H226" s="19" t="n">
        <f aca="false">E226-F226</f>
        <v>17851</v>
      </c>
    </row>
    <row r="227" customFormat="false" ht="15" hidden="false" customHeight="false" outlineLevel="0" collapsed="false">
      <c r="B227" s="18" t="n">
        <v>46164</v>
      </c>
      <c r="C227" s="12" t="s">
        <v>25</v>
      </c>
      <c r="D227" s="12" t="n">
        <v>136</v>
      </c>
      <c r="E227" s="13" t="n">
        <v>89847</v>
      </c>
      <c r="F227" s="13" t="n">
        <v>192624</v>
      </c>
      <c r="G227" s="12" t="n">
        <v>3.4</v>
      </c>
      <c r="H227" s="19" t="n">
        <f aca="false">E227-F227</f>
        <v>-102777</v>
      </c>
    </row>
    <row r="228" customFormat="false" ht="15" hidden="false" customHeight="false" outlineLevel="0" collapsed="false">
      <c r="B228" s="18" t="n">
        <v>46167</v>
      </c>
      <c r="C228" s="12" t="s">
        <v>13</v>
      </c>
      <c r="D228" s="12" t="n">
        <v>166</v>
      </c>
      <c r="E228" s="13" t="n">
        <v>89847</v>
      </c>
      <c r="F228" s="13" t="n">
        <v>177034</v>
      </c>
      <c r="G228" s="12" t="n">
        <v>9.2</v>
      </c>
      <c r="H228" s="19" t="n">
        <f aca="false">E228-F228</f>
        <v>-87187</v>
      </c>
    </row>
    <row r="229" customFormat="false" ht="15" hidden="false" customHeight="false" outlineLevel="0" collapsed="false">
      <c r="B229" s="18" t="n">
        <v>46167</v>
      </c>
      <c r="C229" s="12" t="s">
        <v>16</v>
      </c>
      <c r="D229" s="12" t="n">
        <v>203</v>
      </c>
      <c r="E229" s="13" t="n">
        <v>106009</v>
      </c>
      <c r="F229" s="13" t="n">
        <v>137693</v>
      </c>
      <c r="G229" s="12" t="n">
        <v>5.2</v>
      </c>
      <c r="H229" s="19" t="n">
        <f aca="false">E229-F229</f>
        <v>-31684</v>
      </c>
    </row>
    <row r="230" customFormat="false" ht="15" hidden="false" customHeight="false" outlineLevel="0" collapsed="false">
      <c r="B230" s="18" t="n">
        <v>46167</v>
      </c>
      <c r="C230" s="12" t="s">
        <v>19</v>
      </c>
      <c r="D230" s="12" t="n">
        <v>99</v>
      </c>
      <c r="E230" s="13" t="n">
        <v>83232</v>
      </c>
      <c r="F230" s="13" t="n">
        <v>187345</v>
      </c>
      <c r="G230" s="12" t="n">
        <v>4.4</v>
      </c>
      <c r="H230" s="19" t="n">
        <f aca="false">E230-F230</f>
        <v>-104113</v>
      </c>
    </row>
    <row r="231" customFormat="false" ht="15" hidden="false" customHeight="false" outlineLevel="0" collapsed="false">
      <c r="B231" s="18" t="n">
        <v>46167</v>
      </c>
      <c r="C231" s="12" t="s">
        <v>22</v>
      </c>
      <c r="D231" s="12" t="n">
        <v>212</v>
      </c>
      <c r="E231" s="13" t="n">
        <v>216716</v>
      </c>
      <c r="F231" s="13" t="n">
        <v>108275</v>
      </c>
      <c r="G231" s="12" t="n">
        <v>3.5</v>
      </c>
      <c r="H231" s="19" t="n">
        <f aca="false">E231-F231</f>
        <v>108441</v>
      </c>
    </row>
    <row r="232" customFormat="false" ht="15" hidden="false" customHeight="false" outlineLevel="0" collapsed="false">
      <c r="B232" s="18" t="n">
        <v>46167</v>
      </c>
      <c r="C232" s="12" t="s">
        <v>25</v>
      </c>
      <c r="D232" s="12" t="n">
        <v>116</v>
      </c>
      <c r="E232" s="13" t="n">
        <v>88018</v>
      </c>
      <c r="F232" s="13" t="n">
        <v>149486</v>
      </c>
      <c r="G232" s="12" t="n">
        <v>6.3</v>
      </c>
      <c r="H232" s="19" t="n">
        <f aca="false">E232-F232</f>
        <v>-61468</v>
      </c>
    </row>
    <row r="233" customFormat="false" ht="15" hidden="false" customHeight="false" outlineLevel="0" collapsed="false">
      <c r="B233" s="18" t="n">
        <v>46168</v>
      </c>
      <c r="C233" s="12" t="s">
        <v>13</v>
      </c>
      <c r="D233" s="12" t="n">
        <v>96</v>
      </c>
      <c r="E233" s="13" t="n">
        <v>91064</v>
      </c>
      <c r="F233" s="13" t="n">
        <v>130796</v>
      </c>
      <c r="G233" s="12" t="n">
        <v>9.1</v>
      </c>
      <c r="H233" s="19" t="n">
        <f aca="false">E233-F233</f>
        <v>-39732</v>
      </c>
    </row>
    <row r="234" customFormat="false" ht="15" hidden="false" customHeight="false" outlineLevel="0" collapsed="false">
      <c r="B234" s="18" t="n">
        <v>46168</v>
      </c>
      <c r="C234" s="12" t="s">
        <v>16</v>
      </c>
      <c r="D234" s="12" t="n">
        <v>161</v>
      </c>
      <c r="E234" s="13" t="n">
        <v>163949</v>
      </c>
      <c r="F234" s="13" t="n">
        <v>160569</v>
      </c>
      <c r="G234" s="12" t="n">
        <v>5</v>
      </c>
      <c r="H234" s="19" t="n">
        <f aca="false">E234-F234</f>
        <v>3380</v>
      </c>
    </row>
    <row r="235" customFormat="false" ht="15" hidden="false" customHeight="false" outlineLevel="0" collapsed="false">
      <c r="B235" s="18" t="n">
        <v>46168</v>
      </c>
      <c r="C235" s="12" t="s">
        <v>19</v>
      </c>
      <c r="D235" s="12" t="n">
        <v>143</v>
      </c>
      <c r="E235" s="13" t="n">
        <v>154208</v>
      </c>
      <c r="F235" s="13" t="n">
        <v>119027</v>
      </c>
      <c r="G235" s="12" t="n">
        <v>4.8</v>
      </c>
      <c r="H235" s="19" t="n">
        <f aca="false">E235-F235</f>
        <v>35181</v>
      </c>
    </row>
    <row r="236" customFormat="false" ht="15" hidden="false" customHeight="false" outlineLevel="0" collapsed="false">
      <c r="B236" s="18" t="n">
        <v>46168</v>
      </c>
      <c r="C236" s="12" t="s">
        <v>22</v>
      </c>
      <c r="D236" s="12" t="n">
        <v>109</v>
      </c>
      <c r="E236" s="13" t="n">
        <v>180153</v>
      </c>
      <c r="F236" s="13" t="n">
        <v>106151</v>
      </c>
      <c r="G236" s="12" t="n">
        <v>8.6</v>
      </c>
      <c r="H236" s="19" t="n">
        <f aca="false">E236-F236</f>
        <v>74002</v>
      </c>
    </row>
    <row r="237" customFormat="false" ht="15" hidden="false" customHeight="false" outlineLevel="0" collapsed="false">
      <c r="B237" s="18" t="n">
        <v>46168</v>
      </c>
      <c r="C237" s="12" t="s">
        <v>25</v>
      </c>
      <c r="D237" s="12" t="n">
        <v>123</v>
      </c>
      <c r="E237" s="13" t="n">
        <v>219680</v>
      </c>
      <c r="F237" s="13" t="n">
        <v>113136</v>
      </c>
      <c r="G237" s="12" t="n">
        <v>9.2</v>
      </c>
      <c r="H237" s="19" t="n">
        <f aca="false">E237-F237</f>
        <v>106544</v>
      </c>
    </row>
    <row r="238" customFormat="false" ht="15" hidden="false" customHeight="false" outlineLevel="0" collapsed="false">
      <c r="B238" s="18" t="n">
        <v>46169</v>
      </c>
      <c r="C238" s="12" t="s">
        <v>13</v>
      </c>
      <c r="D238" s="12" t="n">
        <v>209</v>
      </c>
      <c r="E238" s="13" t="n">
        <v>203101</v>
      </c>
      <c r="F238" s="13" t="n">
        <v>126878</v>
      </c>
      <c r="G238" s="12" t="n">
        <v>2.8</v>
      </c>
      <c r="H238" s="19" t="n">
        <f aca="false">E238-F238</f>
        <v>76223</v>
      </c>
    </row>
    <row r="239" customFormat="false" ht="15" hidden="false" customHeight="false" outlineLevel="0" collapsed="false">
      <c r="B239" s="18" t="n">
        <v>46169</v>
      </c>
      <c r="C239" s="12" t="s">
        <v>16</v>
      </c>
      <c r="D239" s="12" t="n">
        <v>104</v>
      </c>
      <c r="E239" s="13" t="n">
        <v>242878</v>
      </c>
      <c r="F239" s="13" t="n">
        <v>78920</v>
      </c>
      <c r="G239" s="12" t="n">
        <v>7.3</v>
      </c>
      <c r="H239" s="19" t="n">
        <f aca="false">E239-F239</f>
        <v>163958</v>
      </c>
    </row>
    <row r="240" customFormat="false" ht="15" hidden="false" customHeight="false" outlineLevel="0" collapsed="false">
      <c r="B240" s="18" t="n">
        <v>46169</v>
      </c>
      <c r="C240" s="12" t="s">
        <v>19</v>
      </c>
      <c r="D240" s="12" t="n">
        <v>211</v>
      </c>
      <c r="E240" s="13" t="n">
        <v>105810</v>
      </c>
      <c r="F240" s="13" t="n">
        <v>183770</v>
      </c>
      <c r="G240" s="12" t="n">
        <v>7</v>
      </c>
      <c r="H240" s="19" t="n">
        <f aca="false">E240-F240</f>
        <v>-77960</v>
      </c>
    </row>
    <row r="241" customFormat="false" ht="15" hidden="false" customHeight="false" outlineLevel="0" collapsed="false">
      <c r="B241" s="18" t="n">
        <v>46169</v>
      </c>
      <c r="C241" s="12" t="s">
        <v>22</v>
      </c>
      <c r="D241" s="12" t="n">
        <v>178</v>
      </c>
      <c r="E241" s="13" t="n">
        <v>145688</v>
      </c>
      <c r="F241" s="13" t="n">
        <v>183992</v>
      </c>
      <c r="G241" s="12" t="n">
        <v>9</v>
      </c>
      <c r="H241" s="19" t="n">
        <f aca="false">E241-F241</f>
        <v>-38304</v>
      </c>
    </row>
    <row r="242" customFormat="false" ht="15" hidden="false" customHeight="false" outlineLevel="0" collapsed="false">
      <c r="B242" s="18" t="n">
        <v>46169</v>
      </c>
      <c r="C242" s="12" t="s">
        <v>25</v>
      </c>
      <c r="D242" s="12" t="n">
        <v>96</v>
      </c>
      <c r="E242" s="13" t="n">
        <v>234406</v>
      </c>
      <c r="F242" s="13" t="n">
        <v>93333</v>
      </c>
      <c r="G242" s="12" t="n">
        <v>4.8</v>
      </c>
      <c r="H242" s="19" t="n">
        <f aca="false">E242-F242</f>
        <v>141073</v>
      </c>
    </row>
    <row r="243" customFormat="false" ht="15" hidden="false" customHeight="false" outlineLevel="0" collapsed="false">
      <c r="B243" s="18" t="n">
        <v>46170</v>
      </c>
      <c r="C243" s="12" t="s">
        <v>13</v>
      </c>
      <c r="D243" s="12" t="n">
        <v>164</v>
      </c>
      <c r="E243" s="13" t="n">
        <v>125667</v>
      </c>
      <c r="F243" s="13" t="n">
        <v>135949</v>
      </c>
      <c r="G243" s="12" t="n">
        <v>5.2</v>
      </c>
      <c r="H243" s="19" t="n">
        <f aca="false">E243-F243</f>
        <v>-10282</v>
      </c>
    </row>
    <row r="244" customFormat="false" ht="15" hidden="false" customHeight="false" outlineLevel="0" collapsed="false">
      <c r="B244" s="18" t="n">
        <v>46170</v>
      </c>
      <c r="C244" s="12" t="s">
        <v>16</v>
      </c>
      <c r="D244" s="12" t="n">
        <v>179</v>
      </c>
      <c r="E244" s="13" t="n">
        <v>189738</v>
      </c>
      <c r="F244" s="13" t="n">
        <v>181505</v>
      </c>
      <c r="G244" s="12" t="n">
        <v>6.2</v>
      </c>
      <c r="H244" s="19" t="n">
        <f aca="false">E244-F244</f>
        <v>8233</v>
      </c>
    </row>
    <row r="245" customFormat="false" ht="15" hidden="false" customHeight="false" outlineLevel="0" collapsed="false">
      <c r="B245" s="18" t="n">
        <v>46170</v>
      </c>
      <c r="C245" s="12" t="s">
        <v>19</v>
      </c>
      <c r="D245" s="12" t="n">
        <v>133</v>
      </c>
      <c r="E245" s="13" t="n">
        <v>137226</v>
      </c>
      <c r="F245" s="13" t="n">
        <v>76595</v>
      </c>
      <c r="G245" s="12" t="n">
        <v>3.7</v>
      </c>
      <c r="H245" s="19" t="n">
        <f aca="false">E245-F245</f>
        <v>60631</v>
      </c>
    </row>
    <row r="246" customFormat="false" ht="15" hidden="false" customHeight="false" outlineLevel="0" collapsed="false">
      <c r="B246" s="18" t="n">
        <v>46170</v>
      </c>
      <c r="C246" s="12" t="s">
        <v>22</v>
      </c>
      <c r="D246" s="12" t="n">
        <v>209</v>
      </c>
      <c r="E246" s="13" t="n">
        <v>143048</v>
      </c>
      <c r="F246" s="13" t="n">
        <v>195647</v>
      </c>
      <c r="G246" s="12" t="n">
        <v>8.4</v>
      </c>
      <c r="H246" s="19" t="n">
        <f aca="false">E246-F246</f>
        <v>-52599</v>
      </c>
    </row>
    <row r="247" customFormat="false" ht="15" hidden="false" customHeight="false" outlineLevel="0" collapsed="false">
      <c r="B247" s="18" t="n">
        <v>46170</v>
      </c>
      <c r="C247" s="12" t="s">
        <v>25</v>
      </c>
      <c r="D247" s="12" t="n">
        <v>128</v>
      </c>
      <c r="E247" s="13" t="n">
        <v>246232</v>
      </c>
      <c r="F247" s="13" t="n">
        <v>98363</v>
      </c>
      <c r="G247" s="12" t="n">
        <v>2.8</v>
      </c>
      <c r="H247" s="19" t="n">
        <f aca="false">E247-F247</f>
        <v>147869</v>
      </c>
    </row>
    <row r="248" customFormat="false" ht="15" hidden="false" customHeight="false" outlineLevel="0" collapsed="false">
      <c r="B248" s="18" t="n">
        <v>46171</v>
      </c>
      <c r="C248" s="12" t="s">
        <v>13</v>
      </c>
      <c r="D248" s="12" t="n">
        <v>126</v>
      </c>
      <c r="E248" s="13" t="n">
        <v>248788</v>
      </c>
      <c r="F248" s="13" t="n">
        <v>148853</v>
      </c>
      <c r="G248" s="12" t="n">
        <v>8.1</v>
      </c>
      <c r="H248" s="19" t="n">
        <f aca="false">E248-F248</f>
        <v>99935</v>
      </c>
    </row>
    <row r="249" customFormat="false" ht="15" hidden="false" customHeight="false" outlineLevel="0" collapsed="false">
      <c r="B249" s="18" t="n">
        <v>46171</v>
      </c>
      <c r="C249" s="12" t="s">
        <v>16</v>
      </c>
      <c r="D249" s="12" t="n">
        <v>220</v>
      </c>
      <c r="E249" s="13" t="n">
        <v>197888</v>
      </c>
      <c r="F249" s="13" t="n">
        <v>148761</v>
      </c>
      <c r="G249" s="12" t="n">
        <v>6.1</v>
      </c>
      <c r="H249" s="19" t="n">
        <f aca="false">E249-F249</f>
        <v>49127</v>
      </c>
    </row>
    <row r="250" customFormat="false" ht="15" hidden="false" customHeight="false" outlineLevel="0" collapsed="false">
      <c r="B250" s="18" t="n">
        <v>46171</v>
      </c>
      <c r="C250" s="12" t="s">
        <v>19</v>
      </c>
      <c r="D250" s="12" t="n">
        <v>183</v>
      </c>
      <c r="E250" s="13" t="n">
        <v>80308</v>
      </c>
      <c r="F250" s="13" t="n">
        <v>114651</v>
      </c>
      <c r="G250" s="12" t="n">
        <v>2.6</v>
      </c>
      <c r="H250" s="19" t="n">
        <f aca="false">E250-F250</f>
        <v>-34343</v>
      </c>
    </row>
    <row r="251" customFormat="false" ht="15" hidden="false" customHeight="false" outlineLevel="0" collapsed="false">
      <c r="B251" s="18" t="n">
        <v>46171</v>
      </c>
      <c r="C251" s="12" t="s">
        <v>22</v>
      </c>
      <c r="D251" s="12" t="n">
        <v>197</v>
      </c>
      <c r="E251" s="13" t="n">
        <v>211971</v>
      </c>
      <c r="F251" s="13" t="n">
        <v>137875</v>
      </c>
      <c r="G251" s="12" t="n">
        <v>5.2</v>
      </c>
      <c r="H251" s="19" t="n">
        <f aca="false">E251-F251</f>
        <v>74096</v>
      </c>
    </row>
    <row r="252" customFormat="false" ht="15" hidden="false" customHeight="false" outlineLevel="0" collapsed="false">
      <c r="B252" s="18" t="n">
        <v>46171</v>
      </c>
      <c r="C252" s="12" t="s">
        <v>25</v>
      </c>
      <c r="D252" s="12" t="n">
        <v>154</v>
      </c>
      <c r="E252" s="13" t="n">
        <v>215007</v>
      </c>
      <c r="F252" s="13" t="n">
        <v>69536</v>
      </c>
      <c r="G252" s="12" t="n">
        <v>9.4</v>
      </c>
      <c r="H252" s="19" t="n">
        <f aca="false">E252-F252</f>
        <v>145471</v>
      </c>
    </row>
    <row r="253" customFormat="false" ht="15" hidden="false" customHeight="false" outlineLevel="0" collapsed="false">
      <c r="B253" s="18" t="n">
        <v>46174</v>
      </c>
      <c r="C253" s="12" t="s">
        <v>13</v>
      </c>
      <c r="D253" s="12" t="n">
        <v>195</v>
      </c>
      <c r="E253" s="13" t="n">
        <v>139365</v>
      </c>
      <c r="F253" s="13" t="n">
        <v>145111</v>
      </c>
      <c r="G253" s="12" t="n">
        <v>8.4</v>
      </c>
      <c r="H253" s="19" t="n">
        <f aca="false">E253-F253</f>
        <v>-5746</v>
      </c>
    </row>
    <row r="254" customFormat="false" ht="15" hidden="false" customHeight="false" outlineLevel="0" collapsed="false">
      <c r="B254" s="18" t="n">
        <v>46174</v>
      </c>
      <c r="C254" s="12" t="s">
        <v>16</v>
      </c>
      <c r="D254" s="12" t="n">
        <v>118</v>
      </c>
      <c r="E254" s="13" t="n">
        <v>94874</v>
      </c>
      <c r="F254" s="13" t="n">
        <v>89973</v>
      </c>
      <c r="G254" s="12" t="n">
        <v>6.8</v>
      </c>
      <c r="H254" s="19" t="n">
        <f aca="false">E254-F254</f>
        <v>4901</v>
      </c>
    </row>
    <row r="255" customFormat="false" ht="15" hidden="false" customHeight="false" outlineLevel="0" collapsed="false">
      <c r="B255" s="18" t="n">
        <v>46174</v>
      </c>
      <c r="C255" s="12" t="s">
        <v>19</v>
      </c>
      <c r="D255" s="12" t="n">
        <v>211</v>
      </c>
      <c r="E255" s="13" t="n">
        <v>125944</v>
      </c>
      <c r="F255" s="13" t="n">
        <v>92986</v>
      </c>
      <c r="G255" s="12" t="n">
        <v>8.5</v>
      </c>
      <c r="H255" s="19" t="n">
        <f aca="false">E255-F255</f>
        <v>32958</v>
      </c>
    </row>
    <row r="256" customFormat="false" ht="15" hidden="false" customHeight="false" outlineLevel="0" collapsed="false">
      <c r="B256" s="18" t="n">
        <v>46174</v>
      </c>
      <c r="C256" s="12" t="s">
        <v>22</v>
      </c>
      <c r="D256" s="12" t="n">
        <v>195</v>
      </c>
      <c r="E256" s="13" t="n">
        <v>121356</v>
      </c>
      <c r="F256" s="13" t="n">
        <v>172381</v>
      </c>
      <c r="G256" s="12" t="n">
        <v>6.5</v>
      </c>
      <c r="H256" s="19" t="n">
        <f aca="false">E256-F256</f>
        <v>-51025</v>
      </c>
    </row>
    <row r="257" customFormat="false" ht="15" hidden="false" customHeight="false" outlineLevel="0" collapsed="false">
      <c r="B257" s="18" t="n">
        <v>46174</v>
      </c>
      <c r="C257" s="12" t="s">
        <v>25</v>
      </c>
      <c r="D257" s="12" t="n">
        <v>144</v>
      </c>
      <c r="E257" s="13" t="n">
        <v>217344</v>
      </c>
      <c r="F257" s="13" t="n">
        <v>194378</v>
      </c>
      <c r="G257" s="12" t="n">
        <v>8</v>
      </c>
      <c r="H257" s="19" t="n">
        <f aca="false">E257-F257</f>
        <v>22966</v>
      </c>
    </row>
    <row r="258" customFormat="false" ht="15" hidden="false" customHeight="false" outlineLevel="0" collapsed="false">
      <c r="B258" s="18" t="n">
        <v>46175</v>
      </c>
      <c r="C258" s="12" t="s">
        <v>13</v>
      </c>
      <c r="D258" s="12" t="n">
        <v>91</v>
      </c>
      <c r="E258" s="13" t="n">
        <v>92026</v>
      </c>
      <c r="F258" s="13" t="n">
        <v>167697</v>
      </c>
      <c r="G258" s="12" t="n">
        <v>4</v>
      </c>
      <c r="H258" s="19" t="n">
        <f aca="false">E258-F258</f>
        <v>-75671</v>
      </c>
    </row>
    <row r="259" customFormat="false" ht="15" hidden="false" customHeight="false" outlineLevel="0" collapsed="false">
      <c r="B259" s="18" t="n">
        <v>46175</v>
      </c>
      <c r="C259" s="12" t="s">
        <v>16</v>
      </c>
      <c r="D259" s="12" t="n">
        <v>209</v>
      </c>
      <c r="E259" s="13" t="n">
        <v>143382</v>
      </c>
      <c r="F259" s="13" t="n">
        <v>176074</v>
      </c>
      <c r="G259" s="12" t="n">
        <v>4.5</v>
      </c>
      <c r="H259" s="19" t="n">
        <f aca="false">E259-F259</f>
        <v>-32692</v>
      </c>
    </row>
    <row r="260" customFormat="false" ht="15" hidden="false" customHeight="false" outlineLevel="0" collapsed="false">
      <c r="B260" s="18" t="n">
        <v>46175</v>
      </c>
      <c r="C260" s="12" t="s">
        <v>19</v>
      </c>
      <c r="D260" s="12" t="n">
        <v>165</v>
      </c>
      <c r="E260" s="13" t="n">
        <v>133578</v>
      </c>
      <c r="F260" s="13" t="n">
        <v>188640</v>
      </c>
      <c r="G260" s="12" t="n">
        <v>2.9</v>
      </c>
      <c r="H260" s="19" t="n">
        <f aca="false">E260-F260</f>
        <v>-55062</v>
      </c>
    </row>
    <row r="261" customFormat="false" ht="15" hidden="false" customHeight="false" outlineLevel="0" collapsed="false">
      <c r="B261" s="18" t="n">
        <v>46175</v>
      </c>
      <c r="C261" s="12" t="s">
        <v>22</v>
      </c>
      <c r="D261" s="12" t="n">
        <v>195</v>
      </c>
      <c r="E261" s="13" t="n">
        <v>247433</v>
      </c>
      <c r="F261" s="13" t="n">
        <v>131431</v>
      </c>
      <c r="G261" s="12" t="n">
        <v>6.1</v>
      </c>
      <c r="H261" s="19" t="n">
        <f aca="false">E261-F261</f>
        <v>116002</v>
      </c>
    </row>
    <row r="262" customFormat="false" ht="15" hidden="false" customHeight="false" outlineLevel="0" collapsed="false">
      <c r="B262" s="18" t="n">
        <v>46175</v>
      </c>
      <c r="C262" s="12" t="s">
        <v>25</v>
      </c>
      <c r="D262" s="12" t="n">
        <v>181</v>
      </c>
      <c r="E262" s="13" t="n">
        <v>254006</v>
      </c>
      <c r="F262" s="13" t="n">
        <v>144298</v>
      </c>
      <c r="G262" s="12" t="n">
        <v>7</v>
      </c>
      <c r="H262" s="19" t="n">
        <f aca="false">E262-F262</f>
        <v>109708</v>
      </c>
    </row>
    <row r="263" customFormat="false" ht="15" hidden="false" customHeight="false" outlineLevel="0" collapsed="false">
      <c r="B263" s="18" t="n">
        <v>46176</v>
      </c>
      <c r="C263" s="12" t="s">
        <v>13</v>
      </c>
      <c r="D263" s="12" t="n">
        <v>205</v>
      </c>
      <c r="E263" s="13" t="n">
        <v>141734</v>
      </c>
      <c r="F263" s="13" t="n">
        <v>143071</v>
      </c>
      <c r="G263" s="12" t="n">
        <v>8.4</v>
      </c>
      <c r="H263" s="19" t="n">
        <f aca="false">E263-F263</f>
        <v>-1337</v>
      </c>
    </row>
    <row r="264" customFormat="false" ht="15" hidden="false" customHeight="false" outlineLevel="0" collapsed="false">
      <c r="B264" s="18" t="n">
        <v>46176</v>
      </c>
      <c r="C264" s="12" t="s">
        <v>16</v>
      </c>
      <c r="D264" s="12" t="n">
        <v>174</v>
      </c>
      <c r="E264" s="13" t="n">
        <v>139802</v>
      </c>
      <c r="F264" s="13" t="n">
        <v>129063</v>
      </c>
      <c r="G264" s="12" t="n">
        <v>7.8</v>
      </c>
      <c r="H264" s="19" t="n">
        <f aca="false">E264-F264</f>
        <v>10739</v>
      </c>
    </row>
    <row r="265" customFormat="false" ht="15" hidden="false" customHeight="false" outlineLevel="0" collapsed="false">
      <c r="B265" s="18" t="n">
        <v>46176</v>
      </c>
      <c r="C265" s="12" t="s">
        <v>19</v>
      </c>
      <c r="D265" s="12" t="n">
        <v>170</v>
      </c>
      <c r="E265" s="13" t="n">
        <v>180411</v>
      </c>
      <c r="F265" s="13" t="n">
        <v>106321</v>
      </c>
      <c r="G265" s="12" t="n">
        <v>4.9</v>
      </c>
      <c r="H265" s="19" t="n">
        <f aca="false">E265-F265</f>
        <v>74090</v>
      </c>
    </row>
    <row r="266" customFormat="false" ht="15" hidden="false" customHeight="false" outlineLevel="0" collapsed="false">
      <c r="B266" s="18" t="n">
        <v>46176</v>
      </c>
      <c r="C266" s="12" t="s">
        <v>22</v>
      </c>
      <c r="D266" s="12" t="n">
        <v>177</v>
      </c>
      <c r="E266" s="13" t="n">
        <v>202562</v>
      </c>
      <c r="F266" s="13" t="n">
        <v>69749</v>
      </c>
      <c r="G266" s="12" t="n">
        <v>8.6</v>
      </c>
      <c r="H266" s="19" t="n">
        <f aca="false">E266-F266</f>
        <v>132813</v>
      </c>
    </row>
    <row r="267" customFormat="false" ht="15" hidden="false" customHeight="false" outlineLevel="0" collapsed="false">
      <c r="B267" s="18" t="n">
        <v>46176</v>
      </c>
      <c r="C267" s="12" t="s">
        <v>25</v>
      </c>
      <c r="D267" s="12" t="n">
        <v>190</v>
      </c>
      <c r="E267" s="13" t="n">
        <v>177955</v>
      </c>
      <c r="F267" s="13" t="n">
        <v>162600</v>
      </c>
      <c r="G267" s="12" t="n">
        <v>6.5</v>
      </c>
      <c r="H267" s="19" t="n">
        <f aca="false">E267-F267</f>
        <v>15355</v>
      </c>
    </row>
    <row r="268" customFormat="false" ht="15" hidden="false" customHeight="false" outlineLevel="0" collapsed="false">
      <c r="B268" s="18" t="n">
        <v>46177</v>
      </c>
      <c r="C268" s="12" t="s">
        <v>13</v>
      </c>
      <c r="D268" s="12" t="n">
        <v>215</v>
      </c>
      <c r="E268" s="13" t="n">
        <v>91772</v>
      </c>
      <c r="F268" s="13" t="n">
        <v>91308</v>
      </c>
      <c r="G268" s="12" t="n">
        <v>9.3</v>
      </c>
      <c r="H268" s="19" t="n">
        <f aca="false">E268-F268</f>
        <v>464</v>
      </c>
    </row>
    <row r="269" customFormat="false" ht="15" hidden="false" customHeight="false" outlineLevel="0" collapsed="false">
      <c r="B269" s="18" t="n">
        <v>46177</v>
      </c>
      <c r="C269" s="12" t="s">
        <v>16</v>
      </c>
      <c r="D269" s="12" t="n">
        <v>114</v>
      </c>
      <c r="E269" s="13" t="n">
        <v>217311</v>
      </c>
      <c r="F269" s="13" t="n">
        <v>191057</v>
      </c>
      <c r="G269" s="12" t="n">
        <v>8.6</v>
      </c>
      <c r="H269" s="19" t="n">
        <f aca="false">E269-F269</f>
        <v>26254</v>
      </c>
    </row>
    <row r="270" customFormat="false" ht="15" hidden="false" customHeight="false" outlineLevel="0" collapsed="false">
      <c r="B270" s="18" t="n">
        <v>46177</v>
      </c>
      <c r="C270" s="12" t="s">
        <v>19</v>
      </c>
      <c r="D270" s="12" t="n">
        <v>114</v>
      </c>
      <c r="E270" s="13" t="n">
        <v>141228</v>
      </c>
      <c r="F270" s="13" t="n">
        <v>71602</v>
      </c>
      <c r="G270" s="12" t="n">
        <v>3.1</v>
      </c>
      <c r="H270" s="19" t="n">
        <f aca="false">E270-F270</f>
        <v>69626</v>
      </c>
    </row>
    <row r="271" customFormat="false" ht="15" hidden="false" customHeight="false" outlineLevel="0" collapsed="false">
      <c r="B271" s="18" t="n">
        <v>46177</v>
      </c>
      <c r="C271" s="12" t="s">
        <v>22</v>
      </c>
      <c r="D271" s="12" t="n">
        <v>206</v>
      </c>
      <c r="E271" s="13" t="n">
        <v>102700</v>
      </c>
      <c r="F271" s="13" t="n">
        <v>180133</v>
      </c>
      <c r="G271" s="12" t="n">
        <v>9.5</v>
      </c>
      <c r="H271" s="19" t="n">
        <f aca="false">E271-F271</f>
        <v>-77433</v>
      </c>
    </row>
    <row r="272" customFormat="false" ht="15" hidden="false" customHeight="false" outlineLevel="0" collapsed="false">
      <c r="B272" s="18" t="n">
        <v>46177</v>
      </c>
      <c r="C272" s="12" t="s">
        <v>25</v>
      </c>
      <c r="D272" s="12" t="n">
        <v>160</v>
      </c>
      <c r="E272" s="13" t="n">
        <v>111819</v>
      </c>
      <c r="F272" s="13" t="n">
        <v>67692</v>
      </c>
      <c r="G272" s="12" t="n">
        <v>8.5</v>
      </c>
      <c r="H272" s="19" t="n">
        <f aca="false">E272-F272</f>
        <v>44127</v>
      </c>
    </row>
    <row r="273" customFormat="false" ht="15" hidden="false" customHeight="false" outlineLevel="0" collapsed="false">
      <c r="B273" s="18" t="n">
        <v>46178</v>
      </c>
      <c r="C273" s="12" t="s">
        <v>13</v>
      </c>
      <c r="D273" s="12" t="n">
        <v>145</v>
      </c>
      <c r="E273" s="13" t="n">
        <v>169560</v>
      </c>
      <c r="F273" s="13" t="n">
        <v>190924</v>
      </c>
      <c r="G273" s="12" t="n">
        <v>6.9</v>
      </c>
      <c r="H273" s="19" t="n">
        <f aca="false">E273-F273</f>
        <v>-21364</v>
      </c>
    </row>
    <row r="274" customFormat="false" ht="15" hidden="false" customHeight="false" outlineLevel="0" collapsed="false">
      <c r="B274" s="18" t="n">
        <v>46178</v>
      </c>
      <c r="C274" s="12" t="s">
        <v>16</v>
      </c>
      <c r="D274" s="12" t="n">
        <v>100</v>
      </c>
      <c r="E274" s="13" t="n">
        <v>223279</v>
      </c>
      <c r="F274" s="13" t="n">
        <v>140816</v>
      </c>
      <c r="G274" s="12" t="n">
        <v>7.4</v>
      </c>
      <c r="H274" s="19" t="n">
        <f aca="false">E274-F274</f>
        <v>82463</v>
      </c>
    </row>
    <row r="275" customFormat="false" ht="15" hidden="false" customHeight="false" outlineLevel="0" collapsed="false">
      <c r="B275" s="18" t="n">
        <v>46178</v>
      </c>
      <c r="C275" s="12" t="s">
        <v>19</v>
      </c>
      <c r="D275" s="12" t="n">
        <v>121</v>
      </c>
      <c r="E275" s="13" t="n">
        <v>239229</v>
      </c>
      <c r="F275" s="13" t="n">
        <v>130922</v>
      </c>
      <c r="G275" s="12" t="n">
        <v>3.8</v>
      </c>
      <c r="H275" s="19" t="n">
        <f aca="false">E275-F275</f>
        <v>108307</v>
      </c>
    </row>
    <row r="276" customFormat="false" ht="15" hidden="false" customHeight="false" outlineLevel="0" collapsed="false">
      <c r="B276" s="18" t="n">
        <v>46178</v>
      </c>
      <c r="C276" s="12" t="s">
        <v>22</v>
      </c>
      <c r="D276" s="12" t="n">
        <v>122</v>
      </c>
      <c r="E276" s="13" t="n">
        <v>222815</v>
      </c>
      <c r="F276" s="13" t="n">
        <v>165211</v>
      </c>
      <c r="G276" s="12" t="n">
        <v>4</v>
      </c>
      <c r="H276" s="19" t="n">
        <f aca="false">E276-F276</f>
        <v>57604</v>
      </c>
    </row>
    <row r="277" customFormat="false" ht="15" hidden="false" customHeight="false" outlineLevel="0" collapsed="false">
      <c r="B277" s="18" t="n">
        <v>46178</v>
      </c>
      <c r="C277" s="12" t="s">
        <v>25</v>
      </c>
      <c r="D277" s="12" t="n">
        <v>135</v>
      </c>
      <c r="E277" s="13" t="n">
        <v>231477</v>
      </c>
      <c r="F277" s="13" t="n">
        <v>106733</v>
      </c>
      <c r="G277" s="12" t="n">
        <v>4.3</v>
      </c>
      <c r="H277" s="19" t="n">
        <f aca="false">E277-F277</f>
        <v>124744</v>
      </c>
    </row>
    <row r="278" customFormat="false" ht="15" hidden="false" customHeight="false" outlineLevel="0" collapsed="false">
      <c r="B278" s="18" t="n">
        <v>46181</v>
      </c>
      <c r="C278" s="12" t="s">
        <v>13</v>
      </c>
      <c r="D278" s="12" t="n">
        <v>217</v>
      </c>
      <c r="E278" s="13" t="n">
        <v>132406</v>
      </c>
      <c r="F278" s="13" t="n">
        <v>142375</v>
      </c>
      <c r="G278" s="12" t="n">
        <v>4.3</v>
      </c>
      <c r="H278" s="19" t="n">
        <f aca="false">E278-F278</f>
        <v>-9969</v>
      </c>
    </row>
    <row r="279" customFormat="false" ht="15" hidden="false" customHeight="false" outlineLevel="0" collapsed="false">
      <c r="B279" s="18" t="n">
        <v>46181</v>
      </c>
      <c r="C279" s="12" t="s">
        <v>16</v>
      </c>
      <c r="D279" s="12" t="n">
        <v>118</v>
      </c>
      <c r="E279" s="13" t="n">
        <v>173967</v>
      </c>
      <c r="F279" s="13" t="n">
        <v>85785</v>
      </c>
      <c r="G279" s="12" t="n">
        <v>5</v>
      </c>
      <c r="H279" s="19" t="n">
        <f aca="false">E279-F279</f>
        <v>88182</v>
      </c>
    </row>
    <row r="280" customFormat="false" ht="15" hidden="false" customHeight="false" outlineLevel="0" collapsed="false">
      <c r="B280" s="18" t="n">
        <v>46181</v>
      </c>
      <c r="C280" s="12" t="s">
        <v>19</v>
      </c>
      <c r="D280" s="12" t="n">
        <v>151</v>
      </c>
      <c r="E280" s="13" t="n">
        <v>166715</v>
      </c>
      <c r="F280" s="13" t="n">
        <v>125390</v>
      </c>
      <c r="G280" s="12" t="n">
        <v>2.7</v>
      </c>
      <c r="H280" s="19" t="n">
        <f aca="false">E280-F280</f>
        <v>41325</v>
      </c>
    </row>
    <row r="281" customFormat="false" ht="15" hidden="false" customHeight="false" outlineLevel="0" collapsed="false">
      <c r="B281" s="18" t="n">
        <v>46181</v>
      </c>
      <c r="C281" s="12" t="s">
        <v>22</v>
      </c>
      <c r="D281" s="12" t="n">
        <v>119</v>
      </c>
      <c r="E281" s="13" t="n">
        <v>169323</v>
      </c>
      <c r="F281" s="13" t="n">
        <v>115187</v>
      </c>
      <c r="G281" s="12" t="n">
        <v>2.7</v>
      </c>
      <c r="H281" s="19" t="n">
        <f aca="false">E281-F281</f>
        <v>54136</v>
      </c>
    </row>
    <row r="282" customFormat="false" ht="15" hidden="false" customHeight="false" outlineLevel="0" collapsed="false">
      <c r="B282" s="18" t="n">
        <v>46181</v>
      </c>
      <c r="C282" s="12" t="s">
        <v>25</v>
      </c>
      <c r="D282" s="12" t="n">
        <v>93</v>
      </c>
      <c r="E282" s="13" t="n">
        <v>154659</v>
      </c>
      <c r="F282" s="13" t="n">
        <v>73301</v>
      </c>
      <c r="G282" s="12" t="n">
        <v>3.3</v>
      </c>
      <c r="H282" s="19" t="n">
        <f aca="false">E282-F282</f>
        <v>81358</v>
      </c>
    </row>
    <row r="283" customFormat="false" ht="15" hidden="false" customHeight="false" outlineLevel="0" collapsed="false">
      <c r="B283" s="18" t="n">
        <v>46182</v>
      </c>
      <c r="C283" s="12" t="s">
        <v>13</v>
      </c>
      <c r="D283" s="12" t="n">
        <v>134</v>
      </c>
      <c r="E283" s="13" t="n">
        <v>91557</v>
      </c>
      <c r="F283" s="13" t="n">
        <v>176599</v>
      </c>
      <c r="G283" s="12" t="n">
        <v>3.5</v>
      </c>
      <c r="H283" s="19" t="n">
        <f aca="false">E283-F283</f>
        <v>-85042</v>
      </c>
    </row>
    <row r="284" customFormat="false" ht="15" hidden="false" customHeight="false" outlineLevel="0" collapsed="false">
      <c r="B284" s="18" t="n">
        <v>46182</v>
      </c>
      <c r="C284" s="12" t="s">
        <v>16</v>
      </c>
      <c r="D284" s="12" t="n">
        <v>106</v>
      </c>
      <c r="E284" s="13" t="n">
        <v>219904</v>
      </c>
      <c r="F284" s="13" t="n">
        <v>83737</v>
      </c>
      <c r="G284" s="12" t="n">
        <v>9.5</v>
      </c>
      <c r="H284" s="19" t="n">
        <f aca="false">E284-F284</f>
        <v>136167</v>
      </c>
    </row>
    <row r="285" customFormat="false" ht="15" hidden="false" customHeight="false" outlineLevel="0" collapsed="false">
      <c r="B285" s="18" t="n">
        <v>46182</v>
      </c>
      <c r="C285" s="12" t="s">
        <v>19</v>
      </c>
      <c r="D285" s="12" t="n">
        <v>189</v>
      </c>
      <c r="E285" s="13" t="n">
        <v>168780</v>
      </c>
      <c r="F285" s="13" t="n">
        <v>116829</v>
      </c>
      <c r="G285" s="12" t="n">
        <v>8.4</v>
      </c>
      <c r="H285" s="19" t="n">
        <f aca="false">E285-F285</f>
        <v>51951</v>
      </c>
    </row>
    <row r="286" customFormat="false" ht="15" hidden="false" customHeight="false" outlineLevel="0" collapsed="false">
      <c r="B286" s="18" t="n">
        <v>46182</v>
      </c>
      <c r="C286" s="12" t="s">
        <v>22</v>
      </c>
      <c r="D286" s="12" t="n">
        <v>177</v>
      </c>
      <c r="E286" s="13" t="n">
        <v>188749</v>
      </c>
      <c r="F286" s="13" t="n">
        <v>102413</v>
      </c>
      <c r="G286" s="12" t="n">
        <v>6.3</v>
      </c>
      <c r="H286" s="19" t="n">
        <f aca="false">E286-F286</f>
        <v>86336</v>
      </c>
    </row>
    <row r="287" customFormat="false" ht="15" hidden="false" customHeight="false" outlineLevel="0" collapsed="false">
      <c r="B287" s="18" t="n">
        <v>46182</v>
      </c>
      <c r="C287" s="12" t="s">
        <v>25</v>
      </c>
      <c r="D287" s="12" t="n">
        <v>166</v>
      </c>
      <c r="E287" s="13" t="n">
        <v>172217</v>
      </c>
      <c r="F287" s="13" t="n">
        <v>117789</v>
      </c>
      <c r="G287" s="12" t="n">
        <v>6</v>
      </c>
      <c r="H287" s="19" t="n">
        <f aca="false">E287-F287</f>
        <v>54428</v>
      </c>
    </row>
    <row r="288" customFormat="false" ht="15" hidden="false" customHeight="false" outlineLevel="0" collapsed="false">
      <c r="B288" s="18" t="n">
        <v>46183</v>
      </c>
      <c r="C288" s="12" t="s">
        <v>13</v>
      </c>
      <c r="D288" s="12" t="n">
        <v>90</v>
      </c>
      <c r="E288" s="13" t="n">
        <v>231914</v>
      </c>
      <c r="F288" s="13" t="n">
        <v>72715</v>
      </c>
      <c r="G288" s="12" t="n">
        <v>3.4</v>
      </c>
      <c r="H288" s="19" t="n">
        <f aca="false">E288-F288</f>
        <v>159199</v>
      </c>
    </row>
    <row r="289" customFormat="false" ht="15" hidden="false" customHeight="false" outlineLevel="0" collapsed="false">
      <c r="B289" s="18" t="n">
        <v>46183</v>
      </c>
      <c r="C289" s="12" t="s">
        <v>16</v>
      </c>
      <c r="D289" s="12" t="n">
        <v>204</v>
      </c>
      <c r="E289" s="13" t="n">
        <v>108374</v>
      </c>
      <c r="F289" s="13" t="n">
        <v>84462</v>
      </c>
      <c r="G289" s="12" t="n">
        <v>3</v>
      </c>
      <c r="H289" s="19" t="n">
        <f aca="false">E289-F289</f>
        <v>23912</v>
      </c>
    </row>
    <row r="290" customFormat="false" ht="15" hidden="false" customHeight="false" outlineLevel="0" collapsed="false">
      <c r="B290" s="18" t="n">
        <v>46183</v>
      </c>
      <c r="C290" s="12" t="s">
        <v>19</v>
      </c>
      <c r="D290" s="12" t="n">
        <v>143</v>
      </c>
      <c r="E290" s="13" t="n">
        <v>177216</v>
      </c>
      <c r="F290" s="13" t="n">
        <v>186948</v>
      </c>
      <c r="G290" s="12" t="n">
        <v>5.8</v>
      </c>
      <c r="H290" s="19" t="n">
        <f aca="false">E290-F290</f>
        <v>-9732</v>
      </c>
    </row>
    <row r="291" customFormat="false" ht="15" hidden="false" customHeight="false" outlineLevel="0" collapsed="false">
      <c r="B291" s="18" t="n">
        <v>46183</v>
      </c>
      <c r="C291" s="12" t="s">
        <v>22</v>
      </c>
      <c r="D291" s="12" t="n">
        <v>167</v>
      </c>
      <c r="E291" s="13" t="n">
        <v>119137</v>
      </c>
      <c r="F291" s="13" t="n">
        <v>149100</v>
      </c>
      <c r="G291" s="12" t="n">
        <v>7</v>
      </c>
      <c r="H291" s="19" t="n">
        <f aca="false">E291-F291</f>
        <v>-29963</v>
      </c>
    </row>
    <row r="292" customFormat="false" ht="15" hidden="false" customHeight="false" outlineLevel="0" collapsed="false">
      <c r="B292" s="18" t="n">
        <v>46183</v>
      </c>
      <c r="C292" s="12" t="s">
        <v>25</v>
      </c>
      <c r="D292" s="12" t="n">
        <v>218</v>
      </c>
      <c r="E292" s="13" t="n">
        <v>113037</v>
      </c>
      <c r="F292" s="13" t="n">
        <v>150663</v>
      </c>
      <c r="G292" s="12" t="n">
        <v>6.2</v>
      </c>
      <c r="H292" s="19" t="n">
        <f aca="false">E292-F292</f>
        <v>-37626</v>
      </c>
    </row>
    <row r="293" customFormat="false" ht="15" hidden="false" customHeight="false" outlineLevel="0" collapsed="false">
      <c r="B293" s="18" t="n">
        <v>46184</v>
      </c>
      <c r="C293" s="12" t="s">
        <v>13</v>
      </c>
      <c r="D293" s="12" t="n">
        <v>114</v>
      </c>
      <c r="E293" s="13" t="n">
        <v>198186</v>
      </c>
      <c r="F293" s="13" t="n">
        <v>88585</v>
      </c>
      <c r="G293" s="12" t="n">
        <v>9</v>
      </c>
      <c r="H293" s="19" t="n">
        <f aca="false">E293-F293</f>
        <v>109601</v>
      </c>
    </row>
    <row r="294" customFormat="false" ht="15" hidden="false" customHeight="false" outlineLevel="0" collapsed="false">
      <c r="B294" s="18" t="n">
        <v>46184</v>
      </c>
      <c r="C294" s="12" t="s">
        <v>16</v>
      </c>
      <c r="D294" s="12" t="n">
        <v>119</v>
      </c>
      <c r="E294" s="13" t="n">
        <v>174662</v>
      </c>
      <c r="F294" s="13" t="n">
        <v>73759</v>
      </c>
      <c r="G294" s="12" t="n">
        <v>8.9</v>
      </c>
      <c r="H294" s="19" t="n">
        <f aca="false">E294-F294</f>
        <v>100903</v>
      </c>
    </row>
    <row r="295" customFormat="false" ht="15" hidden="false" customHeight="false" outlineLevel="0" collapsed="false">
      <c r="B295" s="18" t="n">
        <v>46184</v>
      </c>
      <c r="C295" s="12" t="s">
        <v>19</v>
      </c>
      <c r="D295" s="12" t="n">
        <v>214</v>
      </c>
      <c r="E295" s="13" t="n">
        <v>151496</v>
      </c>
      <c r="F295" s="13" t="n">
        <v>64213</v>
      </c>
      <c r="G295" s="12" t="n">
        <v>4.2</v>
      </c>
      <c r="H295" s="19" t="n">
        <f aca="false">E295-F295</f>
        <v>87283</v>
      </c>
    </row>
    <row r="296" customFormat="false" ht="15" hidden="false" customHeight="false" outlineLevel="0" collapsed="false">
      <c r="B296" s="18" t="n">
        <v>46184</v>
      </c>
      <c r="C296" s="12" t="s">
        <v>22</v>
      </c>
      <c r="D296" s="12" t="n">
        <v>103</v>
      </c>
      <c r="E296" s="13" t="n">
        <v>206221</v>
      </c>
      <c r="F296" s="13" t="n">
        <v>186367</v>
      </c>
      <c r="G296" s="12" t="n">
        <v>5.7</v>
      </c>
      <c r="H296" s="19" t="n">
        <f aca="false">E296-F296</f>
        <v>19854</v>
      </c>
    </row>
    <row r="297" customFormat="false" ht="15" hidden="false" customHeight="false" outlineLevel="0" collapsed="false">
      <c r="B297" s="18" t="n">
        <v>46184</v>
      </c>
      <c r="C297" s="12" t="s">
        <v>25</v>
      </c>
      <c r="D297" s="12" t="n">
        <v>166</v>
      </c>
      <c r="E297" s="13" t="n">
        <v>140721</v>
      </c>
      <c r="F297" s="13" t="n">
        <v>133587</v>
      </c>
      <c r="G297" s="12" t="n">
        <v>6.1</v>
      </c>
      <c r="H297" s="19" t="n">
        <f aca="false">E297-F297</f>
        <v>7134</v>
      </c>
    </row>
    <row r="298" customFormat="false" ht="15" hidden="false" customHeight="false" outlineLevel="0" collapsed="false">
      <c r="B298" s="18" t="n">
        <v>46185</v>
      </c>
      <c r="C298" s="12" t="s">
        <v>13</v>
      </c>
      <c r="D298" s="12" t="n">
        <v>101</v>
      </c>
      <c r="E298" s="13" t="n">
        <v>154310</v>
      </c>
      <c r="F298" s="13" t="n">
        <v>180129</v>
      </c>
      <c r="G298" s="12" t="n">
        <v>3.6</v>
      </c>
      <c r="H298" s="19" t="n">
        <f aca="false">E298-F298</f>
        <v>-25819</v>
      </c>
    </row>
    <row r="299" customFormat="false" ht="15" hidden="false" customHeight="false" outlineLevel="0" collapsed="false">
      <c r="B299" s="18" t="n">
        <v>46185</v>
      </c>
      <c r="C299" s="12" t="s">
        <v>16</v>
      </c>
      <c r="D299" s="12" t="n">
        <v>179</v>
      </c>
      <c r="E299" s="13" t="n">
        <v>234428</v>
      </c>
      <c r="F299" s="13" t="n">
        <v>119411</v>
      </c>
      <c r="G299" s="12" t="n">
        <v>9.3</v>
      </c>
      <c r="H299" s="19" t="n">
        <f aca="false">E299-F299</f>
        <v>115017</v>
      </c>
    </row>
    <row r="300" customFormat="false" ht="15" hidden="false" customHeight="false" outlineLevel="0" collapsed="false">
      <c r="B300" s="18" t="n">
        <v>46185</v>
      </c>
      <c r="C300" s="12" t="s">
        <v>19</v>
      </c>
      <c r="D300" s="12" t="n">
        <v>94</v>
      </c>
      <c r="E300" s="13" t="n">
        <v>174327</v>
      </c>
      <c r="F300" s="13" t="n">
        <v>194463</v>
      </c>
      <c r="G300" s="12" t="n">
        <v>9</v>
      </c>
      <c r="H300" s="19" t="n">
        <f aca="false">E300-F300</f>
        <v>-20136</v>
      </c>
    </row>
    <row r="301" customFormat="false" ht="15" hidden="false" customHeight="false" outlineLevel="0" collapsed="false">
      <c r="B301" s="18" t="n">
        <v>46185</v>
      </c>
      <c r="C301" s="12" t="s">
        <v>22</v>
      </c>
      <c r="D301" s="12" t="n">
        <v>122</v>
      </c>
      <c r="E301" s="13" t="n">
        <v>257797</v>
      </c>
      <c r="F301" s="13" t="n">
        <v>114805</v>
      </c>
      <c r="G301" s="12" t="n">
        <v>7.4</v>
      </c>
      <c r="H301" s="19" t="n">
        <f aca="false">E301-F301</f>
        <v>142992</v>
      </c>
    </row>
    <row r="302" customFormat="false" ht="15" hidden="false" customHeight="false" outlineLevel="0" collapsed="false">
      <c r="B302" s="18" t="n">
        <v>46185</v>
      </c>
      <c r="C302" s="12" t="s">
        <v>25</v>
      </c>
      <c r="D302" s="12" t="n">
        <v>119</v>
      </c>
      <c r="E302" s="13" t="n">
        <v>112346</v>
      </c>
      <c r="F302" s="13" t="n">
        <v>133246</v>
      </c>
      <c r="G302" s="12" t="n">
        <v>6.7</v>
      </c>
      <c r="H302" s="19" t="n">
        <f aca="false">E302-F302</f>
        <v>-20900</v>
      </c>
    </row>
    <row r="303" customFormat="false" ht="15" hidden="false" customHeight="false" outlineLevel="0" collapsed="false">
      <c r="B303" s="18" t="n">
        <v>46188</v>
      </c>
      <c r="C303" s="12" t="s">
        <v>13</v>
      </c>
      <c r="D303" s="12" t="n">
        <v>143</v>
      </c>
      <c r="E303" s="13" t="n">
        <v>101896</v>
      </c>
      <c r="F303" s="13" t="n">
        <v>188039</v>
      </c>
      <c r="G303" s="12" t="n">
        <v>8.4</v>
      </c>
      <c r="H303" s="19" t="n">
        <f aca="false">E303-F303</f>
        <v>-86143</v>
      </c>
    </row>
    <row r="304" customFormat="false" ht="15" hidden="false" customHeight="false" outlineLevel="0" collapsed="false">
      <c r="B304" s="18" t="n">
        <v>46188</v>
      </c>
      <c r="C304" s="12" t="s">
        <v>16</v>
      </c>
      <c r="D304" s="12" t="n">
        <v>166</v>
      </c>
      <c r="E304" s="13" t="n">
        <v>117908</v>
      </c>
      <c r="F304" s="13" t="n">
        <v>168689</v>
      </c>
      <c r="G304" s="12" t="n">
        <v>5.2</v>
      </c>
      <c r="H304" s="19" t="n">
        <f aca="false">E304-F304</f>
        <v>-50781</v>
      </c>
    </row>
    <row r="305" customFormat="false" ht="15" hidden="false" customHeight="false" outlineLevel="0" collapsed="false">
      <c r="B305" s="18" t="n">
        <v>46188</v>
      </c>
      <c r="C305" s="12" t="s">
        <v>19</v>
      </c>
      <c r="D305" s="12" t="n">
        <v>186</v>
      </c>
      <c r="E305" s="13" t="n">
        <v>159471</v>
      </c>
      <c r="F305" s="13" t="n">
        <v>96453</v>
      </c>
      <c r="G305" s="12" t="n">
        <v>3.3</v>
      </c>
      <c r="H305" s="19" t="n">
        <f aca="false">E305-F305</f>
        <v>63018</v>
      </c>
    </row>
    <row r="306" customFormat="false" ht="15" hidden="false" customHeight="false" outlineLevel="0" collapsed="false">
      <c r="B306" s="18" t="n">
        <v>46188</v>
      </c>
      <c r="C306" s="12" t="s">
        <v>22</v>
      </c>
      <c r="D306" s="12" t="n">
        <v>109</v>
      </c>
      <c r="E306" s="13" t="n">
        <v>148446</v>
      </c>
      <c r="F306" s="13" t="n">
        <v>63393</v>
      </c>
      <c r="G306" s="12" t="n">
        <v>3.6</v>
      </c>
      <c r="H306" s="19" t="n">
        <f aca="false">E306-F306</f>
        <v>85053</v>
      </c>
    </row>
    <row r="307" customFormat="false" ht="15" hidden="false" customHeight="false" outlineLevel="0" collapsed="false">
      <c r="B307" s="18" t="n">
        <v>46188</v>
      </c>
      <c r="C307" s="12" t="s">
        <v>25</v>
      </c>
      <c r="D307" s="12" t="n">
        <v>212</v>
      </c>
      <c r="E307" s="13" t="n">
        <v>238057</v>
      </c>
      <c r="F307" s="13" t="n">
        <v>92382</v>
      </c>
      <c r="G307" s="12" t="n">
        <v>5.8</v>
      </c>
      <c r="H307" s="19" t="n">
        <f aca="false">E307-F307</f>
        <v>145675</v>
      </c>
    </row>
    <row r="308" customFormat="false" ht="15" hidden="false" customHeight="false" outlineLevel="0" collapsed="false">
      <c r="B308" s="18" t="n">
        <v>46189</v>
      </c>
      <c r="C308" s="12" t="s">
        <v>13</v>
      </c>
      <c r="D308" s="12" t="n">
        <v>220</v>
      </c>
      <c r="E308" s="13" t="n">
        <v>136706</v>
      </c>
      <c r="F308" s="13" t="n">
        <v>162185</v>
      </c>
      <c r="G308" s="12" t="n">
        <v>3.5</v>
      </c>
      <c r="H308" s="19" t="n">
        <f aca="false">E308-F308</f>
        <v>-25479</v>
      </c>
    </row>
    <row r="309" customFormat="false" ht="15" hidden="false" customHeight="false" outlineLevel="0" collapsed="false">
      <c r="B309" s="18" t="n">
        <v>46189</v>
      </c>
      <c r="C309" s="12" t="s">
        <v>16</v>
      </c>
      <c r="D309" s="12" t="n">
        <v>153</v>
      </c>
      <c r="E309" s="13" t="n">
        <v>124983</v>
      </c>
      <c r="F309" s="13" t="n">
        <v>89611</v>
      </c>
      <c r="G309" s="12" t="n">
        <v>5.8</v>
      </c>
      <c r="H309" s="19" t="n">
        <f aca="false">E309-F309</f>
        <v>35372</v>
      </c>
    </row>
    <row r="310" customFormat="false" ht="15" hidden="false" customHeight="false" outlineLevel="0" collapsed="false">
      <c r="B310" s="18" t="n">
        <v>46189</v>
      </c>
      <c r="C310" s="12" t="s">
        <v>19</v>
      </c>
      <c r="D310" s="12" t="n">
        <v>188</v>
      </c>
      <c r="E310" s="13" t="n">
        <v>174339</v>
      </c>
      <c r="F310" s="13" t="n">
        <v>189194</v>
      </c>
      <c r="G310" s="12" t="n">
        <v>4.4</v>
      </c>
      <c r="H310" s="19" t="n">
        <f aca="false">E310-F310</f>
        <v>-14855</v>
      </c>
    </row>
    <row r="311" customFormat="false" ht="15" hidden="false" customHeight="false" outlineLevel="0" collapsed="false">
      <c r="B311" s="18" t="n">
        <v>46189</v>
      </c>
      <c r="C311" s="12" t="s">
        <v>22</v>
      </c>
      <c r="D311" s="12" t="n">
        <v>150</v>
      </c>
      <c r="E311" s="13" t="n">
        <v>92337</v>
      </c>
      <c r="F311" s="13" t="n">
        <v>128364</v>
      </c>
      <c r="G311" s="12" t="n">
        <v>6.1</v>
      </c>
      <c r="H311" s="19" t="n">
        <f aca="false">E311-F311</f>
        <v>-36027</v>
      </c>
    </row>
    <row r="312" customFormat="false" ht="15" hidden="false" customHeight="false" outlineLevel="0" collapsed="false">
      <c r="B312" s="18" t="n">
        <v>46189</v>
      </c>
      <c r="C312" s="12" t="s">
        <v>25</v>
      </c>
      <c r="D312" s="12" t="n">
        <v>134</v>
      </c>
      <c r="E312" s="13" t="n">
        <v>91699</v>
      </c>
      <c r="F312" s="13" t="n">
        <v>117460</v>
      </c>
      <c r="G312" s="12" t="n">
        <v>3.6</v>
      </c>
      <c r="H312" s="19" t="n">
        <f aca="false">E312-F312</f>
        <v>-25761</v>
      </c>
    </row>
    <row r="313" customFormat="false" ht="15" hidden="false" customHeight="false" outlineLevel="0" collapsed="false">
      <c r="B313" s="18" t="n">
        <v>46190</v>
      </c>
      <c r="C313" s="12" t="s">
        <v>13</v>
      </c>
      <c r="D313" s="12" t="n">
        <v>174</v>
      </c>
      <c r="E313" s="13" t="n">
        <v>206350</v>
      </c>
      <c r="F313" s="13" t="n">
        <v>178803</v>
      </c>
      <c r="G313" s="12" t="n">
        <v>6.2</v>
      </c>
      <c r="H313" s="19" t="n">
        <f aca="false">E313-F313</f>
        <v>27547</v>
      </c>
    </row>
    <row r="314" customFormat="false" ht="15" hidden="false" customHeight="false" outlineLevel="0" collapsed="false">
      <c r="B314" s="18" t="n">
        <v>46190</v>
      </c>
      <c r="C314" s="12" t="s">
        <v>16</v>
      </c>
      <c r="D314" s="12" t="n">
        <v>148</v>
      </c>
      <c r="E314" s="13" t="n">
        <v>198102</v>
      </c>
      <c r="F314" s="13" t="n">
        <v>126296</v>
      </c>
      <c r="G314" s="12" t="n">
        <v>6.4</v>
      </c>
      <c r="H314" s="19" t="n">
        <f aca="false">E314-F314</f>
        <v>71806</v>
      </c>
    </row>
    <row r="315" customFormat="false" ht="15" hidden="false" customHeight="false" outlineLevel="0" collapsed="false">
      <c r="B315" s="18" t="n">
        <v>46190</v>
      </c>
      <c r="C315" s="12" t="s">
        <v>19</v>
      </c>
      <c r="D315" s="12" t="n">
        <v>126</v>
      </c>
      <c r="E315" s="13" t="n">
        <v>117695</v>
      </c>
      <c r="F315" s="13" t="n">
        <v>138083</v>
      </c>
      <c r="G315" s="12" t="n">
        <v>4.5</v>
      </c>
      <c r="H315" s="19" t="n">
        <f aca="false">E315-F315</f>
        <v>-20388</v>
      </c>
    </row>
    <row r="316" customFormat="false" ht="15" hidden="false" customHeight="false" outlineLevel="0" collapsed="false">
      <c r="B316" s="18" t="n">
        <v>46190</v>
      </c>
      <c r="C316" s="12" t="s">
        <v>22</v>
      </c>
      <c r="D316" s="12" t="n">
        <v>110</v>
      </c>
      <c r="E316" s="13" t="n">
        <v>97728</v>
      </c>
      <c r="F316" s="13" t="n">
        <v>105725</v>
      </c>
      <c r="G316" s="12" t="n">
        <v>6</v>
      </c>
      <c r="H316" s="19" t="n">
        <f aca="false">E316-F316</f>
        <v>-7997</v>
      </c>
    </row>
    <row r="317" customFormat="false" ht="15" hidden="false" customHeight="false" outlineLevel="0" collapsed="false">
      <c r="B317" s="18" t="n">
        <v>46190</v>
      </c>
      <c r="C317" s="12" t="s">
        <v>25</v>
      </c>
      <c r="D317" s="12" t="n">
        <v>158</v>
      </c>
      <c r="E317" s="13" t="n">
        <v>157150</v>
      </c>
      <c r="F317" s="13" t="n">
        <v>129224</v>
      </c>
      <c r="G317" s="12" t="n">
        <v>9.3</v>
      </c>
      <c r="H317" s="19" t="n">
        <f aca="false">E317-F317</f>
        <v>27926</v>
      </c>
    </row>
    <row r="318" customFormat="false" ht="15" hidden="false" customHeight="false" outlineLevel="0" collapsed="false">
      <c r="B318" s="18" t="n">
        <v>46191</v>
      </c>
      <c r="C318" s="12" t="s">
        <v>13</v>
      </c>
      <c r="D318" s="12" t="n">
        <v>169</v>
      </c>
      <c r="E318" s="13" t="n">
        <v>216227</v>
      </c>
      <c r="F318" s="13" t="n">
        <v>184536</v>
      </c>
      <c r="G318" s="12" t="n">
        <v>6.1</v>
      </c>
      <c r="H318" s="19" t="n">
        <f aca="false">E318-F318</f>
        <v>31691</v>
      </c>
    </row>
    <row r="319" customFormat="false" ht="15" hidden="false" customHeight="false" outlineLevel="0" collapsed="false">
      <c r="B319" s="18" t="n">
        <v>46191</v>
      </c>
      <c r="C319" s="12" t="s">
        <v>16</v>
      </c>
      <c r="D319" s="12" t="n">
        <v>129</v>
      </c>
      <c r="E319" s="13" t="n">
        <v>92454</v>
      </c>
      <c r="F319" s="13" t="n">
        <v>155085</v>
      </c>
      <c r="G319" s="12" t="n">
        <v>9.5</v>
      </c>
      <c r="H319" s="19" t="n">
        <f aca="false">E319-F319</f>
        <v>-62631</v>
      </c>
    </row>
    <row r="320" customFormat="false" ht="15" hidden="false" customHeight="false" outlineLevel="0" collapsed="false">
      <c r="B320" s="18" t="n">
        <v>46191</v>
      </c>
      <c r="C320" s="12" t="s">
        <v>19</v>
      </c>
      <c r="D320" s="12" t="n">
        <v>209</v>
      </c>
      <c r="E320" s="13" t="n">
        <v>226266</v>
      </c>
      <c r="F320" s="13" t="n">
        <v>150289</v>
      </c>
      <c r="G320" s="12" t="n">
        <v>5.4</v>
      </c>
      <c r="H320" s="19" t="n">
        <f aca="false">E320-F320</f>
        <v>75977</v>
      </c>
    </row>
    <row r="321" customFormat="false" ht="15" hidden="false" customHeight="false" outlineLevel="0" collapsed="false">
      <c r="B321" s="18" t="n">
        <v>46191</v>
      </c>
      <c r="C321" s="12" t="s">
        <v>22</v>
      </c>
      <c r="D321" s="12" t="n">
        <v>163</v>
      </c>
      <c r="E321" s="13" t="n">
        <v>233255</v>
      </c>
      <c r="F321" s="13" t="n">
        <v>142671</v>
      </c>
      <c r="G321" s="12" t="n">
        <v>5.1</v>
      </c>
      <c r="H321" s="19" t="n">
        <f aca="false">E321-F321</f>
        <v>90584</v>
      </c>
    </row>
    <row r="322" customFormat="false" ht="15" hidden="false" customHeight="false" outlineLevel="0" collapsed="false">
      <c r="B322" s="18" t="n">
        <v>46191</v>
      </c>
      <c r="C322" s="12" t="s">
        <v>25</v>
      </c>
      <c r="D322" s="12" t="n">
        <v>220</v>
      </c>
      <c r="E322" s="13" t="n">
        <v>212763</v>
      </c>
      <c r="F322" s="13" t="n">
        <v>159790</v>
      </c>
      <c r="G322" s="12" t="n">
        <v>7.6</v>
      </c>
      <c r="H322" s="19" t="n">
        <f aca="false">E322-F322</f>
        <v>52973</v>
      </c>
    </row>
    <row r="323" customFormat="false" ht="15" hidden="false" customHeight="false" outlineLevel="0" collapsed="false">
      <c r="B323" s="18" t="n">
        <v>46192</v>
      </c>
      <c r="C323" s="12" t="s">
        <v>13</v>
      </c>
      <c r="D323" s="12" t="n">
        <v>114</v>
      </c>
      <c r="E323" s="13" t="n">
        <v>200605</v>
      </c>
      <c r="F323" s="13" t="n">
        <v>135442</v>
      </c>
      <c r="G323" s="12" t="n">
        <v>7.1</v>
      </c>
      <c r="H323" s="19" t="n">
        <f aca="false">E323-F323</f>
        <v>65163</v>
      </c>
    </row>
    <row r="324" customFormat="false" ht="15" hidden="false" customHeight="false" outlineLevel="0" collapsed="false">
      <c r="B324" s="18" t="n">
        <v>46192</v>
      </c>
      <c r="C324" s="12" t="s">
        <v>16</v>
      </c>
      <c r="D324" s="12" t="n">
        <v>202</v>
      </c>
      <c r="E324" s="13" t="n">
        <v>259085</v>
      </c>
      <c r="F324" s="13" t="n">
        <v>175128</v>
      </c>
      <c r="G324" s="12" t="n">
        <v>4.2</v>
      </c>
      <c r="H324" s="19" t="n">
        <f aca="false">E324-F324</f>
        <v>83957</v>
      </c>
    </row>
    <row r="325" customFormat="false" ht="15" hidden="false" customHeight="false" outlineLevel="0" collapsed="false">
      <c r="B325" s="18" t="n">
        <v>46192</v>
      </c>
      <c r="C325" s="12" t="s">
        <v>19</v>
      </c>
      <c r="D325" s="12" t="n">
        <v>91</v>
      </c>
      <c r="E325" s="13" t="n">
        <v>236948</v>
      </c>
      <c r="F325" s="13" t="n">
        <v>63809</v>
      </c>
      <c r="G325" s="12" t="n">
        <v>3.7</v>
      </c>
      <c r="H325" s="19" t="n">
        <f aca="false">E325-F325</f>
        <v>173139</v>
      </c>
    </row>
    <row r="326" customFormat="false" ht="15" hidden="false" customHeight="false" outlineLevel="0" collapsed="false">
      <c r="B326" s="18" t="n">
        <v>46192</v>
      </c>
      <c r="C326" s="12" t="s">
        <v>22</v>
      </c>
      <c r="D326" s="12" t="n">
        <v>106</v>
      </c>
      <c r="E326" s="13" t="n">
        <v>151861</v>
      </c>
      <c r="F326" s="13" t="n">
        <v>102636</v>
      </c>
      <c r="G326" s="12" t="n">
        <v>9.4</v>
      </c>
      <c r="H326" s="19" t="n">
        <f aca="false">E326-F326</f>
        <v>49225</v>
      </c>
    </row>
    <row r="327" customFormat="false" ht="15" hidden="false" customHeight="false" outlineLevel="0" collapsed="false">
      <c r="B327" s="18" t="n">
        <v>46192</v>
      </c>
      <c r="C327" s="12" t="s">
        <v>25</v>
      </c>
      <c r="D327" s="12" t="n">
        <v>129</v>
      </c>
      <c r="E327" s="13" t="n">
        <v>115952</v>
      </c>
      <c r="F327" s="13" t="n">
        <v>104667</v>
      </c>
      <c r="G327" s="12" t="n">
        <v>7.3</v>
      </c>
      <c r="H327" s="19" t="n">
        <f aca="false">E327-F327</f>
        <v>11285</v>
      </c>
    </row>
    <row r="328" customFormat="false" ht="15" hidden="false" customHeight="false" outlineLevel="0" collapsed="false">
      <c r="B328" s="18" t="n">
        <v>46195</v>
      </c>
      <c r="C328" s="12" t="s">
        <v>13</v>
      </c>
      <c r="D328" s="12" t="n">
        <v>111</v>
      </c>
      <c r="E328" s="13" t="n">
        <v>93582</v>
      </c>
      <c r="F328" s="13" t="n">
        <v>114548</v>
      </c>
      <c r="G328" s="12" t="n">
        <v>2.8</v>
      </c>
      <c r="H328" s="19" t="n">
        <f aca="false">E328-F328</f>
        <v>-20966</v>
      </c>
    </row>
    <row r="329" customFormat="false" ht="15" hidden="false" customHeight="false" outlineLevel="0" collapsed="false">
      <c r="B329" s="18" t="n">
        <v>46195</v>
      </c>
      <c r="C329" s="12" t="s">
        <v>16</v>
      </c>
      <c r="D329" s="12" t="n">
        <v>205</v>
      </c>
      <c r="E329" s="13" t="n">
        <v>252692</v>
      </c>
      <c r="F329" s="13" t="n">
        <v>147769</v>
      </c>
      <c r="G329" s="12" t="n">
        <v>5</v>
      </c>
      <c r="H329" s="19" t="n">
        <f aca="false">E329-F329</f>
        <v>104923</v>
      </c>
    </row>
    <row r="330" customFormat="false" ht="15" hidden="false" customHeight="false" outlineLevel="0" collapsed="false">
      <c r="B330" s="18" t="n">
        <v>46195</v>
      </c>
      <c r="C330" s="12" t="s">
        <v>19</v>
      </c>
      <c r="D330" s="12" t="n">
        <v>97</v>
      </c>
      <c r="E330" s="13" t="n">
        <v>130508</v>
      </c>
      <c r="F330" s="13" t="n">
        <v>163833</v>
      </c>
      <c r="G330" s="12" t="n">
        <v>5.3</v>
      </c>
      <c r="H330" s="19" t="n">
        <f aca="false">E330-F330</f>
        <v>-33325</v>
      </c>
    </row>
    <row r="331" customFormat="false" ht="15" hidden="false" customHeight="false" outlineLevel="0" collapsed="false">
      <c r="B331" s="18" t="n">
        <v>46195</v>
      </c>
      <c r="C331" s="12" t="s">
        <v>22</v>
      </c>
      <c r="D331" s="12" t="n">
        <v>133</v>
      </c>
      <c r="E331" s="13" t="n">
        <v>251532</v>
      </c>
      <c r="F331" s="13" t="n">
        <v>161045</v>
      </c>
      <c r="G331" s="12" t="n">
        <v>5</v>
      </c>
      <c r="H331" s="19" t="n">
        <f aca="false">E331-F331</f>
        <v>90487</v>
      </c>
    </row>
    <row r="332" customFormat="false" ht="15" hidden="false" customHeight="false" outlineLevel="0" collapsed="false">
      <c r="B332" s="18" t="n">
        <v>46195</v>
      </c>
      <c r="C332" s="12" t="s">
        <v>25</v>
      </c>
      <c r="D332" s="12" t="n">
        <v>119</v>
      </c>
      <c r="E332" s="13" t="n">
        <v>247300</v>
      </c>
      <c r="F332" s="13" t="n">
        <v>101954</v>
      </c>
      <c r="G332" s="12" t="n">
        <v>3.1</v>
      </c>
      <c r="H332" s="19" t="n">
        <f aca="false">E332-F332</f>
        <v>145346</v>
      </c>
    </row>
    <row r="333" customFormat="false" ht="15" hidden="false" customHeight="false" outlineLevel="0" collapsed="false">
      <c r="B333" s="18" t="n">
        <v>46196</v>
      </c>
      <c r="C333" s="12" t="s">
        <v>13</v>
      </c>
      <c r="D333" s="12" t="n">
        <v>203</v>
      </c>
      <c r="E333" s="13" t="n">
        <v>192543</v>
      </c>
      <c r="F333" s="13" t="n">
        <v>163826</v>
      </c>
      <c r="G333" s="12" t="n">
        <v>6.2</v>
      </c>
      <c r="H333" s="19" t="n">
        <f aca="false">E333-F333</f>
        <v>28717</v>
      </c>
    </row>
    <row r="334" customFormat="false" ht="15" hidden="false" customHeight="false" outlineLevel="0" collapsed="false">
      <c r="B334" s="18" t="n">
        <v>46196</v>
      </c>
      <c r="C334" s="12" t="s">
        <v>16</v>
      </c>
      <c r="D334" s="12" t="n">
        <v>125</v>
      </c>
      <c r="E334" s="13" t="n">
        <v>138962</v>
      </c>
      <c r="F334" s="13" t="n">
        <v>113335</v>
      </c>
      <c r="G334" s="12" t="n">
        <v>5.5</v>
      </c>
      <c r="H334" s="19" t="n">
        <f aca="false">E334-F334</f>
        <v>25627</v>
      </c>
    </row>
    <row r="335" customFormat="false" ht="15" hidden="false" customHeight="false" outlineLevel="0" collapsed="false">
      <c r="B335" s="18" t="n">
        <v>46196</v>
      </c>
      <c r="C335" s="12" t="s">
        <v>19</v>
      </c>
      <c r="D335" s="12" t="n">
        <v>112</v>
      </c>
      <c r="E335" s="13" t="n">
        <v>109517</v>
      </c>
      <c r="F335" s="13" t="n">
        <v>137996</v>
      </c>
      <c r="G335" s="12" t="n">
        <v>7.6</v>
      </c>
      <c r="H335" s="19" t="n">
        <f aca="false">E335-F335</f>
        <v>-28479</v>
      </c>
    </row>
    <row r="336" customFormat="false" ht="15" hidden="false" customHeight="false" outlineLevel="0" collapsed="false">
      <c r="B336" s="18" t="n">
        <v>46196</v>
      </c>
      <c r="C336" s="12" t="s">
        <v>22</v>
      </c>
      <c r="D336" s="12" t="n">
        <v>146</v>
      </c>
      <c r="E336" s="13" t="n">
        <v>211334</v>
      </c>
      <c r="F336" s="13" t="n">
        <v>68430</v>
      </c>
      <c r="G336" s="12" t="n">
        <v>3</v>
      </c>
      <c r="H336" s="19" t="n">
        <f aca="false">E336-F336</f>
        <v>142904</v>
      </c>
    </row>
    <row r="337" customFormat="false" ht="15" hidden="false" customHeight="false" outlineLevel="0" collapsed="false">
      <c r="B337" s="18" t="n">
        <v>46196</v>
      </c>
      <c r="C337" s="12" t="s">
        <v>25</v>
      </c>
      <c r="D337" s="12" t="n">
        <v>155</v>
      </c>
      <c r="E337" s="13" t="n">
        <v>86115</v>
      </c>
      <c r="F337" s="13" t="n">
        <v>108241</v>
      </c>
      <c r="G337" s="12" t="n">
        <v>6.6</v>
      </c>
      <c r="H337" s="19" t="n">
        <f aca="false">E337-F337</f>
        <v>-22126</v>
      </c>
    </row>
    <row r="338" customFormat="false" ht="15" hidden="false" customHeight="false" outlineLevel="0" collapsed="false">
      <c r="B338" s="18" t="n">
        <v>46197</v>
      </c>
      <c r="C338" s="12" t="s">
        <v>13</v>
      </c>
      <c r="D338" s="12" t="n">
        <v>131</v>
      </c>
      <c r="E338" s="13" t="n">
        <v>211673</v>
      </c>
      <c r="F338" s="13" t="n">
        <v>160983</v>
      </c>
      <c r="G338" s="12" t="n">
        <v>8.6</v>
      </c>
      <c r="H338" s="19" t="n">
        <f aca="false">E338-F338</f>
        <v>50690</v>
      </c>
    </row>
    <row r="339" customFormat="false" ht="15" hidden="false" customHeight="false" outlineLevel="0" collapsed="false">
      <c r="B339" s="18" t="n">
        <v>46197</v>
      </c>
      <c r="C339" s="12" t="s">
        <v>16</v>
      </c>
      <c r="D339" s="12" t="n">
        <v>184</v>
      </c>
      <c r="E339" s="13" t="n">
        <v>166614</v>
      </c>
      <c r="F339" s="13" t="n">
        <v>177697</v>
      </c>
      <c r="G339" s="12" t="n">
        <v>9.3</v>
      </c>
      <c r="H339" s="19" t="n">
        <f aca="false">E339-F339</f>
        <v>-11083</v>
      </c>
    </row>
    <row r="340" customFormat="false" ht="15" hidden="false" customHeight="false" outlineLevel="0" collapsed="false">
      <c r="B340" s="18" t="n">
        <v>46197</v>
      </c>
      <c r="C340" s="12" t="s">
        <v>19</v>
      </c>
      <c r="D340" s="12" t="n">
        <v>101</v>
      </c>
      <c r="E340" s="13" t="n">
        <v>238272</v>
      </c>
      <c r="F340" s="13" t="n">
        <v>175322</v>
      </c>
      <c r="G340" s="12" t="n">
        <v>3.2</v>
      </c>
      <c r="H340" s="19" t="n">
        <f aca="false">E340-F340</f>
        <v>62950</v>
      </c>
    </row>
    <row r="341" customFormat="false" ht="15" hidden="false" customHeight="false" outlineLevel="0" collapsed="false">
      <c r="B341" s="18" t="n">
        <v>46197</v>
      </c>
      <c r="C341" s="12" t="s">
        <v>22</v>
      </c>
      <c r="D341" s="12" t="n">
        <v>121</v>
      </c>
      <c r="E341" s="13" t="n">
        <v>98783</v>
      </c>
      <c r="F341" s="13" t="n">
        <v>71423</v>
      </c>
      <c r="G341" s="12" t="n">
        <v>8.5</v>
      </c>
      <c r="H341" s="19" t="n">
        <f aca="false">E341-F341</f>
        <v>27360</v>
      </c>
    </row>
    <row r="342" customFormat="false" ht="15" hidden="false" customHeight="false" outlineLevel="0" collapsed="false">
      <c r="B342" s="18" t="n">
        <v>46197</v>
      </c>
      <c r="C342" s="12" t="s">
        <v>25</v>
      </c>
      <c r="D342" s="12" t="n">
        <v>168</v>
      </c>
      <c r="E342" s="13" t="n">
        <v>232393</v>
      </c>
      <c r="F342" s="13" t="n">
        <v>160258</v>
      </c>
      <c r="G342" s="12" t="n">
        <v>8.5</v>
      </c>
      <c r="H342" s="19" t="n">
        <f aca="false">E342-F342</f>
        <v>72135</v>
      </c>
    </row>
    <row r="343" customFormat="false" ht="15" hidden="false" customHeight="false" outlineLevel="0" collapsed="false">
      <c r="B343" s="18" t="n">
        <v>46198</v>
      </c>
      <c r="C343" s="12" t="s">
        <v>13</v>
      </c>
      <c r="D343" s="12" t="n">
        <v>103</v>
      </c>
      <c r="E343" s="13" t="n">
        <v>250466</v>
      </c>
      <c r="F343" s="13" t="n">
        <v>147759</v>
      </c>
      <c r="G343" s="12" t="n">
        <v>5.3</v>
      </c>
      <c r="H343" s="19" t="n">
        <f aca="false">E343-F343</f>
        <v>102707</v>
      </c>
    </row>
    <row r="344" customFormat="false" ht="15" hidden="false" customHeight="false" outlineLevel="0" collapsed="false">
      <c r="B344" s="18" t="n">
        <v>46198</v>
      </c>
      <c r="C344" s="12" t="s">
        <v>16</v>
      </c>
      <c r="D344" s="12" t="n">
        <v>117</v>
      </c>
      <c r="E344" s="13" t="n">
        <v>155031</v>
      </c>
      <c r="F344" s="13" t="n">
        <v>179692</v>
      </c>
      <c r="G344" s="12" t="n">
        <v>4.8</v>
      </c>
      <c r="H344" s="19" t="n">
        <f aca="false">E344-F344</f>
        <v>-24661</v>
      </c>
    </row>
    <row r="345" customFormat="false" ht="15" hidden="false" customHeight="false" outlineLevel="0" collapsed="false">
      <c r="B345" s="18" t="n">
        <v>46198</v>
      </c>
      <c r="C345" s="12" t="s">
        <v>19</v>
      </c>
      <c r="D345" s="12" t="n">
        <v>218</v>
      </c>
      <c r="E345" s="13" t="n">
        <v>197968</v>
      </c>
      <c r="F345" s="13" t="n">
        <v>168492</v>
      </c>
      <c r="G345" s="12" t="n">
        <v>8.8</v>
      </c>
      <c r="H345" s="19" t="n">
        <f aca="false">E345-F345</f>
        <v>29476</v>
      </c>
    </row>
    <row r="346" customFormat="false" ht="15" hidden="false" customHeight="false" outlineLevel="0" collapsed="false">
      <c r="B346" s="18" t="n">
        <v>46198</v>
      </c>
      <c r="C346" s="12" t="s">
        <v>22</v>
      </c>
      <c r="D346" s="12" t="n">
        <v>185</v>
      </c>
      <c r="E346" s="13" t="n">
        <v>217122</v>
      </c>
      <c r="F346" s="13" t="n">
        <v>74189</v>
      </c>
      <c r="G346" s="12" t="n">
        <v>7.9</v>
      </c>
      <c r="H346" s="19" t="n">
        <f aca="false">E346-F346</f>
        <v>142933</v>
      </c>
    </row>
    <row r="347" customFormat="false" ht="15" hidden="false" customHeight="false" outlineLevel="0" collapsed="false">
      <c r="B347" s="18" t="n">
        <v>46198</v>
      </c>
      <c r="C347" s="12" t="s">
        <v>25</v>
      </c>
      <c r="D347" s="12" t="n">
        <v>151</v>
      </c>
      <c r="E347" s="13" t="n">
        <v>231704</v>
      </c>
      <c r="F347" s="13" t="n">
        <v>144906</v>
      </c>
      <c r="G347" s="12" t="n">
        <v>9.3</v>
      </c>
      <c r="H347" s="19" t="n">
        <f aca="false">E347-F347</f>
        <v>86798</v>
      </c>
    </row>
    <row r="348" customFormat="false" ht="15" hidden="false" customHeight="false" outlineLevel="0" collapsed="false">
      <c r="B348" s="18" t="n">
        <v>46199</v>
      </c>
      <c r="C348" s="12" t="s">
        <v>13</v>
      </c>
      <c r="D348" s="12" t="n">
        <v>219</v>
      </c>
      <c r="E348" s="13" t="n">
        <v>126980</v>
      </c>
      <c r="F348" s="13" t="n">
        <v>188909</v>
      </c>
      <c r="G348" s="12" t="n">
        <v>5.4</v>
      </c>
      <c r="H348" s="19" t="n">
        <f aca="false">E348-F348</f>
        <v>-61929</v>
      </c>
    </row>
    <row r="349" customFormat="false" ht="15" hidden="false" customHeight="false" outlineLevel="0" collapsed="false">
      <c r="B349" s="18" t="n">
        <v>46199</v>
      </c>
      <c r="C349" s="12" t="s">
        <v>16</v>
      </c>
      <c r="D349" s="12" t="n">
        <v>95</v>
      </c>
      <c r="E349" s="13" t="n">
        <v>233892</v>
      </c>
      <c r="F349" s="13" t="n">
        <v>147676</v>
      </c>
      <c r="G349" s="12" t="n">
        <v>6.7</v>
      </c>
      <c r="H349" s="19" t="n">
        <f aca="false">E349-F349</f>
        <v>86216</v>
      </c>
    </row>
    <row r="350" customFormat="false" ht="15" hidden="false" customHeight="false" outlineLevel="0" collapsed="false">
      <c r="B350" s="18" t="n">
        <v>46199</v>
      </c>
      <c r="C350" s="12" t="s">
        <v>19</v>
      </c>
      <c r="D350" s="12" t="n">
        <v>146</v>
      </c>
      <c r="E350" s="13" t="n">
        <v>120853</v>
      </c>
      <c r="F350" s="13" t="n">
        <v>150544</v>
      </c>
      <c r="G350" s="12" t="n">
        <v>5.8</v>
      </c>
      <c r="H350" s="19" t="n">
        <f aca="false">E350-F350</f>
        <v>-29691</v>
      </c>
    </row>
    <row r="351" customFormat="false" ht="15" hidden="false" customHeight="false" outlineLevel="0" collapsed="false">
      <c r="B351" s="18" t="n">
        <v>46199</v>
      </c>
      <c r="C351" s="12" t="s">
        <v>22</v>
      </c>
      <c r="D351" s="12" t="n">
        <v>209</v>
      </c>
      <c r="E351" s="13" t="n">
        <v>120228</v>
      </c>
      <c r="F351" s="13" t="n">
        <v>130055</v>
      </c>
      <c r="G351" s="12" t="n">
        <v>7.4</v>
      </c>
      <c r="H351" s="19" t="n">
        <f aca="false">E351-F351</f>
        <v>-9827</v>
      </c>
    </row>
    <row r="352" customFormat="false" ht="15" hidden="false" customHeight="false" outlineLevel="0" collapsed="false">
      <c r="B352" s="18" t="n">
        <v>46199</v>
      </c>
      <c r="C352" s="12" t="s">
        <v>25</v>
      </c>
      <c r="D352" s="12" t="n">
        <v>193</v>
      </c>
      <c r="E352" s="13" t="n">
        <v>212443</v>
      </c>
      <c r="F352" s="13" t="n">
        <v>95854</v>
      </c>
      <c r="G352" s="12" t="n">
        <v>8.2</v>
      </c>
      <c r="H352" s="19" t="n">
        <f aca="false">E352-F352</f>
        <v>116589</v>
      </c>
    </row>
    <row r="353" customFormat="false" ht="15" hidden="false" customHeight="false" outlineLevel="0" collapsed="false">
      <c r="B353" s="18" t="n">
        <v>46202</v>
      </c>
      <c r="C353" s="12" t="s">
        <v>13</v>
      </c>
      <c r="D353" s="12" t="n">
        <v>144</v>
      </c>
      <c r="E353" s="13" t="n">
        <v>149719</v>
      </c>
      <c r="F353" s="13" t="n">
        <v>84742</v>
      </c>
      <c r="G353" s="12" t="n">
        <v>7.3</v>
      </c>
      <c r="H353" s="19" t="n">
        <f aca="false">E353-F353</f>
        <v>64977</v>
      </c>
    </row>
    <row r="354" customFormat="false" ht="15" hidden="false" customHeight="false" outlineLevel="0" collapsed="false">
      <c r="B354" s="18" t="n">
        <v>46202</v>
      </c>
      <c r="C354" s="12" t="s">
        <v>16</v>
      </c>
      <c r="D354" s="12" t="n">
        <v>202</v>
      </c>
      <c r="E354" s="13" t="n">
        <v>211412</v>
      </c>
      <c r="F354" s="13" t="n">
        <v>198534</v>
      </c>
      <c r="G354" s="12" t="n">
        <v>6.7</v>
      </c>
      <c r="H354" s="19" t="n">
        <f aca="false">E354-F354</f>
        <v>12878</v>
      </c>
    </row>
    <row r="355" customFormat="false" ht="15" hidden="false" customHeight="false" outlineLevel="0" collapsed="false">
      <c r="B355" s="18" t="n">
        <v>46202</v>
      </c>
      <c r="C355" s="12" t="s">
        <v>19</v>
      </c>
      <c r="D355" s="12" t="n">
        <v>105</v>
      </c>
      <c r="E355" s="13" t="n">
        <v>181904</v>
      </c>
      <c r="F355" s="13" t="n">
        <v>96294</v>
      </c>
      <c r="G355" s="12" t="n">
        <v>4.4</v>
      </c>
      <c r="H355" s="19" t="n">
        <f aca="false">E355-F355</f>
        <v>85610</v>
      </c>
    </row>
    <row r="356" customFormat="false" ht="15" hidden="false" customHeight="false" outlineLevel="0" collapsed="false">
      <c r="B356" s="18" t="n">
        <v>46202</v>
      </c>
      <c r="C356" s="12" t="s">
        <v>22</v>
      </c>
      <c r="D356" s="12" t="n">
        <v>214</v>
      </c>
      <c r="E356" s="13" t="n">
        <v>229799</v>
      </c>
      <c r="F356" s="13" t="n">
        <v>186537</v>
      </c>
      <c r="G356" s="12" t="n">
        <v>5.8</v>
      </c>
      <c r="H356" s="19" t="n">
        <f aca="false">E356-F356</f>
        <v>43262</v>
      </c>
    </row>
    <row r="357" customFormat="false" ht="15" hidden="false" customHeight="false" outlineLevel="0" collapsed="false">
      <c r="B357" s="18" t="n">
        <v>46202</v>
      </c>
      <c r="C357" s="12" t="s">
        <v>25</v>
      </c>
      <c r="D357" s="12" t="n">
        <v>110</v>
      </c>
      <c r="E357" s="13" t="n">
        <v>154384</v>
      </c>
      <c r="F357" s="13" t="n">
        <v>73758</v>
      </c>
      <c r="G357" s="12" t="n">
        <v>3</v>
      </c>
      <c r="H357" s="19" t="n">
        <f aca="false">E357-F357</f>
        <v>80626</v>
      </c>
    </row>
    <row r="358" customFormat="false" ht="15" hidden="false" customHeight="false" outlineLevel="0" collapsed="false">
      <c r="B358" s="18" t="n">
        <v>46203</v>
      </c>
      <c r="C358" s="12" t="s">
        <v>13</v>
      </c>
      <c r="D358" s="12" t="n">
        <v>147</v>
      </c>
      <c r="E358" s="13" t="n">
        <v>252462</v>
      </c>
      <c r="F358" s="13" t="n">
        <v>176234</v>
      </c>
      <c r="G358" s="12" t="n">
        <v>6.1</v>
      </c>
      <c r="H358" s="19" t="n">
        <f aca="false">E358-F358</f>
        <v>76228</v>
      </c>
    </row>
    <row r="359" customFormat="false" ht="15" hidden="false" customHeight="false" outlineLevel="0" collapsed="false">
      <c r="B359" s="18" t="n">
        <v>46203</v>
      </c>
      <c r="C359" s="12" t="s">
        <v>16</v>
      </c>
      <c r="D359" s="12" t="n">
        <v>185</v>
      </c>
      <c r="E359" s="13" t="n">
        <v>198635</v>
      </c>
      <c r="F359" s="13" t="n">
        <v>86095</v>
      </c>
      <c r="G359" s="12" t="n">
        <v>4</v>
      </c>
      <c r="H359" s="19" t="n">
        <f aca="false">E359-F359</f>
        <v>112540</v>
      </c>
    </row>
    <row r="360" customFormat="false" ht="15" hidden="false" customHeight="false" outlineLevel="0" collapsed="false">
      <c r="B360" s="18" t="n">
        <v>46203</v>
      </c>
      <c r="C360" s="12" t="s">
        <v>19</v>
      </c>
      <c r="D360" s="12" t="n">
        <v>114</v>
      </c>
      <c r="E360" s="13" t="n">
        <v>200154</v>
      </c>
      <c r="F360" s="13" t="n">
        <v>125823</v>
      </c>
      <c r="G360" s="12" t="n">
        <v>8.1</v>
      </c>
      <c r="H360" s="19" t="n">
        <f aca="false">E360-F360</f>
        <v>74331</v>
      </c>
    </row>
    <row r="361" customFormat="false" ht="15" hidden="false" customHeight="false" outlineLevel="0" collapsed="false">
      <c r="B361" s="18" t="n">
        <v>46203</v>
      </c>
      <c r="C361" s="12" t="s">
        <v>22</v>
      </c>
      <c r="D361" s="12" t="n">
        <v>150</v>
      </c>
      <c r="E361" s="13" t="n">
        <v>177284</v>
      </c>
      <c r="F361" s="13" t="n">
        <v>100032</v>
      </c>
      <c r="G361" s="12" t="n">
        <v>6.1</v>
      </c>
      <c r="H361" s="19" t="n">
        <f aca="false">E361-F361</f>
        <v>77252</v>
      </c>
    </row>
    <row r="362" customFormat="false" ht="15" hidden="false" customHeight="false" outlineLevel="0" collapsed="false">
      <c r="B362" s="18" t="n">
        <v>46203</v>
      </c>
      <c r="C362" s="12" t="s">
        <v>25</v>
      </c>
      <c r="D362" s="12" t="n">
        <v>183</v>
      </c>
      <c r="E362" s="13" t="n">
        <v>156831</v>
      </c>
      <c r="F362" s="13" t="n">
        <v>91576</v>
      </c>
      <c r="G362" s="12" t="n">
        <v>4.9</v>
      </c>
      <c r="H362" s="19" t="n">
        <f aca="false">E362-F362</f>
        <v>65255</v>
      </c>
    </row>
    <row r="363" customFormat="false" ht="15" hidden="false" customHeight="false" outlineLevel="0" collapsed="false">
      <c r="B363" s="18" t="n">
        <v>46204</v>
      </c>
      <c r="C363" s="12" t="s">
        <v>13</v>
      </c>
      <c r="D363" s="12" t="n">
        <v>200</v>
      </c>
      <c r="E363" s="13" t="n">
        <v>186234</v>
      </c>
      <c r="F363" s="13" t="n">
        <v>115252</v>
      </c>
      <c r="G363" s="12" t="n">
        <v>3.8</v>
      </c>
      <c r="H363" s="19" t="n">
        <f aca="false">E363-F363</f>
        <v>70982</v>
      </c>
    </row>
    <row r="364" customFormat="false" ht="15" hidden="false" customHeight="false" outlineLevel="0" collapsed="false">
      <c r="B364" s="18" t="n">
        <v>46204</v>
      </c>
      <c r="C364" s="12" t="s">
        <v>16</v>
      </c>
      <c r="D364" s="12" t="n">
        <v>137</v>
      </c>
      <c r="E364" s="13" t="n">
        <v>109449</v>
      </c>
      <c r="F364" s="13" t="n">
        <v>117962</v>
      </c>
      <c r="G364" s="12" t="n">
        <v>9.2</v>
      </c>
      <c r="H364" s="19" t="n">
        <f aca="false">E364-F364</f>
        <v>-8513</v>
      </c>
    </row>
    <row r="365" customFormat="false" ht="15" hidden="false" customHeight="false" outlineLevel="0" collapsed="false">
      <c r="B365" s="18" t="n">
        <v>46204</v>
      </c>
      <c r="C365" s="12" t="s">
        <v>19</v>
      </c>
      <c r="D365" s="12" t="n">
        <v>110</v>
      </c>
      <c r="E365" s="13" t="n">
        <v>249115</v>
      </c>
      <c r="F365" s="13" t="n">
        <v>153526</v>
      </c>
      <c r="G365" s="12" t="n">
        <v>7.7</v>
      </c>
      <c r="H365" s="19" t="n">
        <f aca="false">E365-F365</f>
        <v>95589</v>
      </c>
    </row>
    <row r="366" customFormat="false" ht="15" hidden="false" customHeight="false" outlineLevel="0" collapsed="false">
      <c r="B366" s="18" t="n">
        <v>46204</v>
      </c>
      <c r="C366" s="12" t="s">
        <v>22</v>
      </c>
      <c r="D366" s="12" t="n">
        <v>144</v>
      </c>
      <c r="E366" s="13" t="n">
        <v>150569</v>
      </c>
      <c r="F366" s="13" t="n">
        <v>154842</v>
      </c>
      <c r="G366" s="12" t="n">
        <v>2.7</v>
      </c>
      <c r="H366" s="19" t="n">
        <f aca="false">E366-F366</f>
        <v>-4273</v>
      </c>
    </row>
    <row r="367" customFormat="false" ht="15" hidden="false" customHeight="false" outlineLevel="0" collapsed="false">
      <c r="B367" s="18" t="n">
        <v>46204</v>
      </c>
      <c r="C367" s="12" t="s">
        <v>25</v>
      </c>
      <c r="D367" s="12" t="n">
        <v>130</v>
      </c>
      <c r="E367" s="13" t="n">
        <v>200168</v>
      </c>
      <c r="F367" s="13" t="n">
        <v>101510</v>
      </c>
      <c r="G367" s="12" t="n">
        <v>9.2</v>
      </c>
      <c r="H367" s="19" t="n">
        <f aca="false">E367-F367</f>
        <v>98658</v>
      </c>
    </row>
    <row r="368" customFormat="false" ht="15" hidden="false" customHeight="false" outlineLevel="0" collapsed="false">
      <c r="B368" s="18" t="n">
        <v>46205</v>
      </c>
      <c r="C368" s="12" t="s">
        <v>13</v>
      </c>
      <c r="D368" s="12" t="n">
        <v>213</v>
      </c>
      <c r="E368" s="13" t="n">
        <v>161454</v>
      </c>
      <c r="F368" s="13" t="n">
        <v>101924</v>
      </c>
      <c r="G368" s="12" t="n">
        <v>8.3</v>
      </c>
      <c r="H368" s="19" t="n">
        <f aca="false">E368-F368</f>
        <v>59530</v>
      </c>
    </row>
    <row r="369" customFormat="false" ht="15" hidden="false" customHeight="false" outlineLevel="0" collapsed="false">
      <c r="B369" s="18" t="n">
        <v>46205</v>
      </c>
      <c r="C369" s="12" t="s">
        <v>16</v>
      </c>
      <c r="D369" s="12" t="n">
        <v>124</v>
      </c>
      <c r="E369" s="13" t="n">
        <v>139488</v>
      </c>
      <c r="F369" s="13" t="n">
        <v>132414</v>
      </c>
      <c r="G369" s="12" t="n">
        <v>5.3</v>
      </c>
      <c r="H369" s="19" t="n">
        <f aca="false">E369-F369</f>
        <v>7074</v>
      </c>
    </row>
    <row r="370" customFormat="false" ht="15" hidden="false" customHeight="false" outlineLevel="0" collapsed="false">
      <c r="B370" s="18" t="n">
        <v>46205</v>
      </c>
      <c r="C370" s="12" t="s">
        <v>19</v>
      </c>
      <c r="D370" s="12" t="n">
        <v>97</v>
      </c>
      <c r="E370" s="13" t="n">
        <v>235043</v>
      </c>
      <c r="F370" s="13" t="n">
        <v>152027</v>
      </c>
      <c r="G370" s="12" t="n">
        <v>5.4</v>
      </c>
      <c r="H370" s="19" t="n">
        <f aca="false">E370-F370</f>
        <v>83016</v>
      </c>
    </row>
    <row r="371" customFormat="false" ht="15" hidden="false" customHeight="false" outlineLevel="0" collapsed="false">
      <c r="B371" s="18" t="n">
        <v>46205</v>
      </c>
      <c r="C371" s="12" t="s">
        <v>22</v>
      </c>
      <c r="D371" s="12" t="n">
        <v>183</v>
      </c>
      <c r="E371" s="13" t="n">
        <v>153199</v>
      </c>
      <c r="F371" s="13" t="n">
        <v>65283</v>
      </c>
      <c r="G371" s="12" t="n">
        <v>8</v>
      </c>
      <c r="H371" s="19" t="n">
        <f aca="false">E371-F371</f>
        <v>87916</v>
      </c>
    </row>
    <row r="372" customFormat="false" ht="15" hidden="false" customHeight="false" outlineLevel="0" collapsed="false">
      <c r="B372" s="18" t="n">
        <v>46205</v>
      </c>
      <c r="C372" s="12" t="s">
        <v>25</v>
      </c>
      <c r="D372" s="12" t="n">
        <v>195</v>
      </c>
      <c r="E372" s="13" t="n">
        <v>207251</v>
      </c>
      <c r="F372" s="13" t="n">
        <v>110770</v>
      </c>
      <c r="G372" s="12" t="n">
        <v>4</v>
      </c>
      <c r="H372" s="19" t="n">
        <f aca="false">E372-F372</f>
        <v>96481</v>
      </c>
    </row>
    <row r="373" customFormat="false" ht="15" hidden="false" customHeight="false" outlineLevel="0" collapsed="false">
      <c r="B373" s="18" t="n">
        <v>46206</v>
      </c>
      <c r="C373" s="12" t="s">
        <v>13</v>
      </c>
      <c r="D373" s="12" t="n">
        <v>113</v>
      </c>
      <c r="E373" s="13" t="n">
        <v>233887</v>
      </c>
      <c r="F373" s="13" t="n">
        <v>98247</v>
      </c>
      <c r="G373" s="12" t="n">
        <v>3.6</v>
      </c>
      <c r="H373" s="19" t="n">
        <f aca="false">E373-F373</f>
        <v>135640</v>
      </c>
    </row>
    <row r="374" customFormat="false" ht="15" hidden="false" customHeight="false" outlineLevel="0" collapsed="false">
      <c r="B374" s="18" t="n">
        <v>46206</v>
      </c>
      <c r="C374" s="12" t="s">
        <v>16</v>
      </c>
      <c r="D374" s="12" t="n">
        <v>206</v>
      </c>
      <c r="E374" s="13" t="n">
        <v>173958</v>
      </c>
      <c r="F374" s="13" t="n">
        <v>156156</v>
      </c>
      <c r="G374" s="12" t="n">
        <v>3.4</v>
      </c>
      <c r="H374" s="19" t="n">
        <f aca="false">E374-F374</f>
        <v>17802</v>
      </c>
    </row>
    <row r="375" customFormat="false" ht="15" hidden="false" customHeight="false" outlineLevel="0" collapsed="false">
      <c r="B375" s="18" t="n">
        <v>46206</v>
      </c>
      <c r="C375" s="12" t="s">
        <v>19</v>
      </c>
      <c r="D375" s="12" t="n">
        <v>151</v>
      </c>
      <c r="E375" s="13" t="n">
        <v>152271</v>
      </c>
      <c r="F375" s="13" t="n">
        <v>145845</v>
      </c>
      <c r="G375" s="12" t="n">
        <v>4.4</v>
      </c>
      <c r="H375" s="19" t="n">
        <f aca="false">E375-F375</f>
        <v>6426</v>
      </c>
    </row>
    <row r="376" customFormat="false" ht="15" hidden="false" customHeight="false" outlineLevel="0" collapsed="false">
      <c r="B376" s="18" t="n">
        <v>46206</v>
      </c>
      <c r="C376" s="12" t="s">
        <v>22</v>
      </c>
      <c r="D376" s="12" t="n">
        <v>152</v>
      </c>
      <c r="E376" s="13" t="n">
        <v>247290</v>
      </c>
      <c r="F376" s="13" t="n">
        <v>74265</v>
      </c>
      <c r="G376" s="12" t="n">
        <v>2.5</v>
      </c>
      <c r="H376" s="19" t="n">
        <f aca="false">E376-F376</f>
        <v>173025</v>
      </c>
    </row>
    <row r="377" customFormat="false" ht="15" hidden="false" customHeight="false" outlineLevel="0" collapsed="false">
      <c r="B377" s="18" t="n">
        <v>46206</v>
      </c>
      <c r="C377" s="12" t="s">
        <v>25</v>
      </c>
      <c r="D377" s="12" t="n">
        <v>122</v>
      </c>
      <c r="E377" s="13" t="n">
        <v>167054</v>
      </c>
      <c r="F377" s="13" t="n">
        <v>76593</v>
      </c>
      <c r="G377" s="12" t="n">
        <v>9</v>
      </c>
      <c r="H377" s="19" t="n">
        <f aca="false">E377-F377</f>
        <v>90461</v>
      </c>
    </row>
    <row r="378" customFormat="false" ht="15" hidden="false" customHeight="false" outlineLevel="0" collapsed="false">
      <c r="B378" s="18" t="n">
        <v>46209</v>
      </c>
      <c r="C378" s="12" t="s">
        <v>13</v>
      </c>
      <c r="D378" s="12" t="n">
        <v>220</v>
      </c>
      <c r="E378" s="13" t="n">
        <v>124733</v>
      </c>
      <c r="F378" s="13" t="n">
        <v>99984</v>
      </c>
      <c r="G378" s="12" t="n">
        <v>8.8</v>
      </c>
      <c r="H378" s="19" t="n">
        <f aca="false">E378-F378</f>
        <v>24749</v>
      </c>
    </row>
    <row r="379" customFormat="false" ht="15" hidden="false" customHeight="false" outlineLevel="0" collapsed="false">
      <c r="B379" s="18" t="n">
        <v>46209</v>
      </c>
      <c r="C379" s="12" t="s">
        <v>16</v>
      </c>
      <c r="D379" s="12" t="n">
        <v>96</v>
      </c>
      <c r="E379" s="13" t="n">
        <v>158738</v>
      </c>
      <c r="F379" s="13" t="n">
        <v>87934</v>
      </c>
      <c r="G379" s="12" t="n">
        <v>3.2</v>
      </c>
      <c r="H379" s="19" t="n">
        <f aca="false">E379-F379</f>
        <v>70804</v>
      </c>
    </row>
    <row r="380" customFormat="false" ht="15" hidden="false" customHeight="false" outlineLevel="0" collapsed="false">
      <c r="B380" s="18" t="n">
        <v>46209</v>
      </c>
      <c r="C380" s="12" t="s">
        <v>19</v>
      </c>
      <c r="D380" s="12" t="n">
        <v>127</v>
      </c>
      <c r="E380" s="13" t="n">
        <v>81111</v>
      </c>
      <c r="F380" s="13" t="n">
        <v>89726</v>
      </c>
      <c r="G380" s="12" t="n">
        <v>3.7</v>
      </c>
      <c r="H380" s="19" t="n">
        <f aca="false">E380-F380</f>
        <v>-8615</v>
      </c>
    </row>
    <row r="381" customFormat="false" ht="15" hidden="false" customHeight="false" outlineLevel="0" collapsed="false">
      <c r="B381" s="18" t="n">
        <v>46209</v>
      </c>
      <c r="C381" s="12" t="s">
        <v>22</v>
      </c>
      <c r="D381" s="12" t="n">
        <v>163</v>
      </c>
      <c r="E381" s="13" t="n">
        <v>155613</v>
      </c>
      <c r="F381" s="13" t="n">
        <v>165254</v>
      </c>
      <c r="G381" s="12" t="n">
        <v>7.6</v>
      </c>
      <c r="H381" s="19" t="n">
        <f aca="false">E381-F381</f>
        <v>-9641</v>
      </c>
    </row>
    <row r="382" customFormat="false" ht="15" hidden="false" customHeight="false" outlineLevel="0" collapsed="false">
      <c r="B382" s="18" t="n">
        <v>46209</v>
      </c>
      <c r="C382" s="12" t="s">
        <v>25</v>
      </c>
      <c r="D382" s="12" t="n">
        <v>161</v>
      </c>
      <c r="E382" s="13" t="n">
        <v>91110</v>
      </c>
      <c r="F382" s="13" t="n">
        <v>186452</v>
      </c>
      <c r="G382" s="12" t="n">
        <v>9</v>
      </c>
      <c r="H382" s="19" t="n">
        <f aca="false">E382-F382</f>
        <v>-95342</v>
      </c>
    </row>
    <row r="383" customFormat="false" ht="15" hidden="false" customHeight="false" outlineLevel="0" collapsed="false">
      <c r="B383" s="18" t="n">
        <v>46210</v>
      </c>
      <c r="C383" s="12" t="s">
        <v>13</v>
      </c>
      <c r="D383" s="12" t="n">
        <v>97</v>
      </c>
      <c r="E383" s="13" t="n">
        <v>256952</v>
      </c>
      <c r="F383" s="13" t="n">
        <v>162878</v>
      </c>
      <c r="G383" s="12" t="n">
        <v>5.8</v>
      </c>
      <c r="H383" s="19" t="n">
        <f aca="false">E383-F383</f>
        <v>94074</v>
      </c>
    </row>
    <row r="384" customFormat="false" ht="15" hidden="false" customHeight="false" outlineLevel="0" collapsed="false">
      <c r="B384" s="18" t="n">
        <v>46210</v>
      </c>
      <c r="C384" s="12" t="s">
        <v>16</v>
      </c>
      <c r="D384" s="12" t="n">
        <v>182</v>
      </c>
      <c r="E384" s="13" t="n">
        <v>235265</v>
      </c>
      <c r="F384" s="13" t="n">
        <v>128587</v>
      </c>
      <c r="G384" s="12" t="n">
        <v>9.2</v>
      </c>
      <c r="H384" s="19" t="n">
        <f aca="false">E384-F384</f>
        <v>106678</v>
      </c>
    </row>
    <row r="385" customFormat="false" ht="15" hidden="false" customHeight="false" outlineLevel="0" collapsed="false">
      <c r="B385" s="18" t="n">
        <v>46210</v>
      </c>
      <c r="C385" s="12" t="s">
        <v>19</v>
      </c>
      <c r="D385" s="12" t="n">
        <v>200</v>
      </c>
      <c r="E385" s="13" t="n">
        <v>128915</v>
      </c>
      <c r="F385" s="13" t="n">
        <v>65375</v>
      </c>
      <c r="G385" s="12" t="n">
        <v>2.9</v>
      </c>
      <c r="H385" s="19" t="n">
        <f aca="false">E385-F385</f>
        <v>63540</v>
      </c>
    </row>
    <row r="386" customFormat="false" ht="15" hidden="false" customHeight="false" outlineLevel="0" collapsed="false">
      <c r="B386" s="18" t="n">
        <v>46210</v>
      </c>
      <c r="C386" s="12" t="s">
        <v>22</v>
      </c>
      <c r="D386" s="12" t="n">
        <v>182</v>
      </c>
      <c r="E386" s="13" t="n">
        <v>194240</v>
      </c>
      <c r="F386" s="13" t="n">
        <v>147848</v>
      </c>
      <c r="G386" s="12" t="n">
        <v>4.7</v>
      </c>
      <c r="H386" s="19" t="n">
        <f aca="false">E386-F386</f>
        <v>46392</v>
      </c>
    </row>
    <row r="387" customFormat="false" ht="15" hidden="false" customHeight="false" outlineLevel="0" collapsed="false">
      <c r="B387" s="18" t="n">
        <v>46210</v>
      </c>
      <c r="C387" s="12" t="s">
        <v>25</v>
      </c>
      <c r="D387" s="12" t="n">
        <v>164</v>
      </c>
      <c r="E387" s="13" t="n">
        <v>184945</v>
      </c>
      <c r="F387" s="13" t="n">
        <v>94920</v>
      </c>
      <c r="G387" s="12" t="n">
        <v>5.4</v>
      </c>
      <c r="H387" s="19" t="n">
        <f aca="false">E387-F387</f>
        <v>90025</v>
      </c>
    </row>
    <row r="388" customFormat="false" ht="15" hidden="false" customHeight="false" outlineLevel="0" collapsed="false">
      <c r="B388" s="18" t="n">
        <v>46211</v>
      </c>
      <c r="C388" s="12" t="s">
        <v>13</v>
      </c>
      <c r="D388" s="12" t="n">
        <v>110</v>
      </c>
      <c r="E388" s="13" t="n">
        <v>80778</v>
      </c>
      <c r="F388" s="13" t="n">
        <v>138381</v>
      </c>
      <c r="G388" s="12" t="n">
        <v>2.9</v>
      </c>
      <c r="H388" s="19" t="n">
        <f aca="false">E388-F388</f>
        <v>-57603</v>
      </c>
    </row>
    <row r="389" customFormat="false" ht="15" hidden="false" customHeight="false" outlineLevel="0" collapsed="false">
      <c r="B389" s="18" t="n">
        <v>46211</v>
      </c>
      <c r="C389" s="12" t="s">
        <v>16</v>
      </c>
      <c r="D389" s="12" t="n">
        <v>134</v>
      </c>
      <c r="E389" s="13" t="n">
        <v>110131</v>
      </c>
      <c r="F389" s="13" t="n">
        <v>149491</v>
      </c>
      <c r="G389" s="12" t="n">
        <v>2.5</v>
      </c>
      <c r="H389" s="19" t="n">
        <f aca="false">E389-F389</f>
        <v>-39360</v>
      </c>
    </row>
    <row r="390" customFormat="false" ht="15" hidden="false" customHeight="false" outlineLevel="0" collapsed="false">
      <c r="B390" s="18" t="n">
        <v>46211</v>
      </c>
      <c r="C390" s="12" t="s">
        <v>19</v>
      </c>
      <c r="D390" s="12" t="n">
        <v>164</v>
      </c>
      <c r="E390" s="13" t="n">
        <v>163634</v>
      </c>
      <c r="F390" s="13" t="n">
        <v>163728</v>
      </c>
      <c r="G390" s="12" t="n">
        <v>5.9</v>
      </c>
      <c r="H390" s="19" t="n">
        <f aca="false">E390-F390</f>
        <v>-94</v>
      </c>
    </row>
    <row r="391" customFormat="false" ht="15" hidden="false" customHeight="false" outlineLevel="0" collapsed="false">
      <c r="B391" s="18" t="n">
        <v>46211</v>
      </c>
      <c r="C391" s="12" t="s">
        <v>22</v>
      </c>
      <c r="D391" s="12" t="n">
        <v>212</v>
      </c>
      <c r="E391" s="13" t="n">
        <v>257597</v>
      </c>
      <c r="F391" s="13" t="n">
        <v>110897</v>
      </c>
      <c r="G391" s="12" t="n">
        <v>4.1</v>
      </c>
      <c r="H391" s="19" t="n">
        <f aca="false">E391-F391</f>
        <v>146700</v>
      </c>
    </row>
    <row r="392" customFormat="false" ht="15" hidden="false" customHeight="false" outlineLevel="0" collapsed="false">
      <c r="B392" s="18" t="n">
        <v>46211</v>
      </c>
      <c r="C392" s="12" t="s">
        <v>25</v>
      </c>
      <c r="D392" s="12" t="n">
        <v>93</v>
      </c>
      <c r="E392" s="13" t="n">
        <v>94067</v>
      </c>
      <c r="F392" s="13" t="n">
        <v>175246</v>
      </c>
      <c r="G392" s="12" t="n">
        <v>6.6</v>
      </c>
      <c r="H392" s="19" t="n">
        <f aca="false">E392-F392</f>
        <v>-81179</v>
      </c>
    </row>
    <row r="393" customFormat="false" ht="15" hidden="false" customHeight="false" outlineLevel="0" collapsed="false">
      <c r="B393" s="18" t="n">
        <v>46212</v>
      </c>
      <c r="C393" s="12" t="s">
        <v>13</v>
      </c>
      <c r="D393" s="12" t="n">
        <v>91</v>
      </c>
      <c r="E393" s="13" t="n">
        <v>189473</v>
      </c>
      <c r="F393" s="13" t="n">
        <v>183730</v>
      </c>
      <c r="G393" s="12" t="n">
        <v>8.9</v>
      </c>
      <c r="H393" s="19" t="n">
        <f aca="false">E393-F393</f>
        <v>5743</v>
      </c>
    </row>
    <row r="394" customFormat="false" ht="15" hidden="false" customHeight="false" outlineLevel="0" collapsed="false">
      <c r="B394" s="18" t="n">
        <v>46212</v>
      </c>
      <c r="C394" s="12" t="s">
        <v>16</v>
      </c>
      <c r="D394" s="12" t="n">
        <v>115</v>
      </c>
      <c r="E394" s="13" t="n">
        <v>212471</v>
      </c>
      <c r="F394" s="13" t="n">
        <v>123553</v>
      </c>
      <c r="G394" s="12" t="n">
        <v>7.9</v>
      </c>
      <c r="H394" s="19" t="n">
        <f aca="false">E394-F394</f>
        <v>88918</v>
      </c>
    </row>
    <row r="395" customFormat="false" ht="15" hidden="false" customHeight="false" outlineLevel="0" collapsed="false">
      <c r="B395" s="18" t="n">
        <v>46212</v>
      </c>
      <c r="C395" s="12" t="s">
        <v>19</v>
      </c>
      <c r="D395" s="12" t="n">
        <v>122</v>
      </c>
      <c r="E395" s="13" t="n">
        <v>98611</v>
      </c>
      <c r="F395" s="13" t="n">
        <v>106712</v>
      </c>
      <c r="G395" s="12" t="n">
        <v>7.9</v>
      </c>
      <c r="H395" s="19" t="n">
        <f aca="false">E395-F395</f>
        <v>-8101</v>
      </c>
    </row>
    <row r="396" customFormat="false" ht="15" hidden="false" customHeight="false" outlineLevel="0" collapsed="false">
      <c r="B396" s="18" t="n">
        <v>46212</v>
      </c>
      <c r="C396" s="12" t="s">
        <v>22</v>
      </c>
      <c r="D396" s="12" t="n">
        <v>177</v>
      </c>
      <c r="E396" s="13" t="n">
        <v>126648</v>
      </c>
      <c r="F396" s="13" t="n">
        <v>154168</v>
      </c>
      <c r="G396" s="12" t="n">
        <v>4.8</v>
      </c>
      <c r="H396" s="19" t="n">
        <f aca="false">E396-F396</f>
        <v>-27520</v>
      </c>
    </row>
    <row r="397" customFormat="false" ht="15" hidden="false" customHeight="false" outlineLevel="0" collapsed="false">
      <c r="B397" s="18" t="n">
        <v>46212</v>
      </c>
      <c r="C397" s="12" t="s">
        <v>25</v>
      </c>
      <c r="D397" s="12" t="n">
        <v>191</v>
      </c>
      <c r="E397" s="13" t="n">
        <v>187715</v>
      </c>
      <c r="F397" s="13" t="n">
        <v>99702</v>
      </c>
      <c r="G397" s="12" t="n">
        <v>3.2</v>
      </c>
      <c r="H397" s="19" t="n">
        <f aca="false">E397-F397</f>
        <v>88013</v>
      </c>
    </row>
    <row r="398" customFormat="false" ht="15" hidden="false" customHeight="false" outlineLevel="0" collapsed="false">
      <c r="B398" s="18" t="n">
        <v>46213</v>
      </c>
      <c r="C398" s="12" t="s">
        <v>13</v>
      </c>
      <c r="D398" s="12" t="n">
        <v>164</v>
      </c>
      <c r="E398" s="13" t="n">
        <v>187666</v>
      </c>
      <c r="F398" s="13" t="n">
        <v>103700</v>
      </c>
      <c r="G398" s="12" t="n">
        <v>5.6</v>
      </c>
      <c r="H398" s="19" t="n">
        <f aca="false">E398-F398</f>
        <v>83966</v>
      </c>
    </row>
    <row r="399" customFormat="false" ht="15" hidden="false" customHeight="false" outlineLevel="0" collapsed="false">
      <c r="B399" s="18" t="n">
        <v>46213</v>
      </c>
      <c r="C399" s="12" t="s">
        <v>16</v>
      </c>
      <c r="D399" s="12" t="n">
        <v>99</v>
      </c>
      <c r="E399" s="13" t="n">
        <v>254052</v>
      </c>
      <c r="F399" s="13" t="n">
        <v>152552</v>
      </c>
      <c r="G399" s="12" t="n">
        <v>8.4</v>
      </c>
      <c r="H399" s="19" t="n">
        <f aca="false">E399-F399</f>
        <v>101500</v>
      </c>
    </row>
    <row r="400" customFormat="false" ht="15" hidden="false" customHeight="false" outlineLevel="0" collapsed="false">
      <c r="B400" s="18" t="n">
        <v>46213</v>
      </c>
      <c r="C400" s="12" t="s">
        <v>19</v>
      </c>
      <c r="D400" s="12" t="n">
        <v>203</v>
      </c>
      <c r="E400" s="13" t="n">
        <v>223531</v>
      </c>
      <c r="F400" s="13" t="n">
        <v>147907</v>
      </c>
      <c r="G400" s="12" t="n">
        <v>3.7</v>
      </c>
      <c r="H400" s="19" t="n">
        <f aca="false">E400-F400</f>
        <v>75624</v>
      </c>
    </row>
    <row r="401" customFormat="false" ht="15" hidden="false" customHeight="false" outlineLevel="0" collapsed="false">
      <c r="B401" s="18" t="n">
        <v>46213</v>
      </c>
      <c r="C401" s="12" t="s">
        <v>22</v>
      </c>
      <c r="D401" s="12" t="n">
        <v>110</v>
      </c>
      <c r="E401" s="13" t="n">
        <v>173271</v>
      </c>
      <c r="F401" s="13" t="n">
        <v>122373</v>
      </c>
      <c r="G401" s="12" t="n">
        <v>9</v>
      </c>
      <c r="H401" s="19" t="n">
        <f aca="false">E401-F401</f>
        <v>50898</v>
      </c>
    </row>
    <row r="402" customFormat="false" ht="15" hidden="false" customHeight="false" outlineLevel="0" collapsed="false">
      <c r="B402" s="18" t="n">
        <v>46213</v>
      </c>
      <c r="C402" s="12" t="s">
        <v>25</v>
      </c>
      <c r="D402" s="12" t="n">
        <v>162</v>
      </c>
      <c r="E402" s="13" t="n">
        <v>158448</v>
      </c>
      <c r="F402" s="13" t="n">
        <v>138377</v>
      </c>
      <c r="G402" s="12" t="n">
        <v>3.3</v>
      </c>
      <c r="H402" s="19" t="n">
        <f aca="false">E402-F402</f>
        <v>20071</v>
      </c>
    </row>
    <row r="403" customFormat="false" ht="15" hidden="false" customHeight="false" outlineLevel="0" collapsed="false">
      <c r="B403" s="18" t="n">
        <v>46216</v>
      </c>
      <c r="C403" s="12" t="s">
        <v>13</v>
      </c>
      <c r="D403" s="12" t="n">
        <v>190</v>
      </c>
      <c r="E403" s="13" t="n">
        <v>220383</v>
      </c>
      <c r="F403" s="13" t="n">
        <v>122145</v>
      </c>
      <c r="G403" s="12" t="n">
        <v>3.8</v>
      </c>
      <c r="H403" s="19" t="n">
        <f aca="false">E403-F403</f>
        <v>98238</v>
      </c>
    </row>
    <row r="404" customFormat="false" ht="15" hidden="false" customHeight="false" outlineLevel="0" collapsed="false">
      <c r="B404" s="18" t="n">
        <v>46216</v>
      </c>
      <c r="C404" s="12" t="s">
        <v>16</v>
      </c>
      <c r="D404" s="12" t="n">
        <v>196</v>
      </c>
      <c r="E404" s="13" t="n">
        <v>230088</v>
      </c>
      <c r="F404" s="13" t="n">
        <v>177948</v>
      </c>
      <c r="G404" s="12" t="n">
        <v>3.1</v>
      </c>
      <c r="H404" s="19" t="n">
        <f aca="false">E404-F404</f>
        <v>52140</v>
      </c>
    </row>
    <row r="405" customFormat="false" ht="15" hidden="false" customHeight="false" outlineLevel="0" collapsed="false">
      <c r="B405" s="18" t="n">
        <v>46216</v>
      </c>
      <c r="C405" s="12" t="s">
        <v>19</v>
      </c>
      <c r="D405" s="12" t="n">
        <v>159</v>
      </c>
      <c r="E405" s="13" t="n">
        <v>229196</v>
      </c>
      <c r="F405" s="13" t="n">
        <v>199312</v>
      </c>
      <c r="G405" s="12" t="n">
        <v>9.4</v>
      </c>
      <c r="H405" s="19" t="n">
        <f aca="false">E405-F405</f>
        <v>29884</v>
      </c>
    </row>
    <row r="406" customFormat="false" ht="15" hidden="false" customHeight="false" outlineLevel="0" collapsed="false">
      <c r="B406" s="18" t="n">
        <v>46216</v>
      </c>
      <c r="C406" s="12" t="s">
        <v>22</v>
      </c>
      <c r="D406" s="12" t="n">
        <v>188</v>
      </c>
      <c r="E406" s="13" t="n">
        <v>113418</v>
      </c>
      <c r="F406" s="13" t="n">
        <v>191085</v>
      </c>
      <c r="G406" s="12" t="n">
        <v>5.1</v>
      </c>
      <c r="H406" s="19" t="n">
        <f aca="false">E406-F406</f>
        <v>-77667</v>
      </c>
    </row>
    <row r="407" customFormat="false" ht="15" hidden="false" customHeight="false" outlineLevel="0" collapsed="false">
      <c r="B407" s="18" t="n">
        <v>46216</v>
      </c>
      <c r="C407" s="12" t="s">
        <v>25</v>
      </c>
      <c r="D407" s="12" t="n">
        <v>216</v>
      </c>
      <c r="E407" s="13" t="n">
        <v>133251</v>
      </c>
      <c r="F407" s="13" t="n">
        <v>89287</v>
      </c>
      <c r="G407" s="12" t="n">
        <v>4</v>
      </c>
      <c r="H407" s="19" t="n">
        <f aca="false">E407-F407</f>
        <v>43964</v>
      </c>
    </row>
    <row r="408" customFormat="false" ht="15" hidden="false" customHeight="false" outlineLevel="0" collapsed="false">
      <c r="B408" s="18" t="n">
        <v>46217</v>
      </c>
      <c r="C408" s="12" t="s">
        <v>13</v>
      </c>
      <c r="D408" s="12" t="n">
        <v>215</v>
      </c>
      <c r="E408" s="13" t="n">
        <v>249411</v>
      </c>
      <c r="F408" s="13" t="n">
        <v>99990</v>
      </c>
      <c r="G408" s="12" t="n">
        <v>3</v>
      </c>
      <c r="H408" s="19" t="n">
        <f aca="false">E408-F408</f>
        <v>149421</v>
      </c>
    </row>
    <row r="409" customFormat="false" ht="15" hidden="false" customHeight="false" outlineLevel="0" collapsed="false">
      <c r="B409" s="18" t="n">
        <v>46217</v>
      </c>
      <c r="C409" s="12" t="s">
        <v>16</v>
      </c>
      <c r="D409" s="12" t="n">
        <v>139</v>
      </c>
      <c r="E409" s="13" t="n">
        <v>208019</v>
      </c>
      <c r="F409" s="13" t="n">
        <v>97785</v>
      </c>
      <c r="G409" s="12" t="n">
        <v>3.2</v>
      </c>
      <c r="H409" s="19" t="n">
        <f aca="false">E409-F409</f>
        <v>110234</v>
      </c>
    </row>
    <row r="410" customFormat="false" ht="15" hidden="false" customHeight="false" outlineLevel="0" collapsed="false">
      <c r="B410" s="18" t="n">
        <v>46217</v>
      </c>
      <c r="C410" s="12" t="s">
        <v>19</v>
      </c>
      <c r="D410" s="12" t="n">
        <v>159</v>
      </c>
      <c r="E410" s="13" t="n">
        <v>165458</v>
      </c>
      <c r="F410" s="13" t="n">
        <v>113927</v>
      </c>
      <c r="G410" s="12" t="n">
        <v>5.9</v>
      </c>
      <c r="H410" s="19" t="n">
        <f aca="false">E410-F410</f>
        <v>51531</v>
      </c>
    </row>
    <row r="411" customFormat="false" ht="15" hidden="false" customHeight="false" outlineLevel="0" collapsed="false">
      <c r="B411" s="18" t="n">
        <v>46217</v>
      </c>
      <c r="C411" s="12" t="s">
        <v>22</v>
      </c>
      <c r="D411" s="12" t="n">
        <v>188</v>
      </c>
      <c r="E411" s="13" t="n">
        <v>224406</v>
      </c>
      <c r="F411" s="13" t="n">
        <v>135687</v>
      </c>
      <c r="G411" s="12" t="n">
        <v>9.3</v>
      </c>
      <c r="H411" s="19" t="n">
        <f aca="false">E411-F411</f>
        <v>88719</v>
      </c>
    </row>
    <row r="412" customFormat="false" ht="15" hidden="false" customHeight="false" outlineLevel="0" collapsed="false">
      <c r="B412" s="18" t="n">
        <v>46217</v>
      </c>
      <c r="C412" s="12" t="s">
        <v>25</v>
      </c>
      <c r="D412" s="12" t="n">
        <v>144</v>
      </c>
      <c r="E412" s="13" t="n">
        <v>193677</v>
      </c>
      <c r="F412" s="13" t="n">
        <v>140989</v>
      </c>
      <c r="G412" s="12" t="n">
        <v>3.2</v>
      </c>
      <c r="H412" s="19" t="n">
        <f aca="false">E412-F412</f>
        <v>52688</v>
      </c>
    </row>
    <row r="413" customFormat="false" ht="15" hidden="false" customHeight="false" outlineLevel="0" collapsed="false">
      <c r="B413" s="18" t="n">
        <v>46218</v>
      </c>
      <c r="C413" s="12" t="s">
        <v>13</v>
      </c>
      <c r="D413" s="12" t="n">
        <v>90</v>
      </c>
      <c r="E413" s="13" t="n">
        <v>184825</v>
      </c>
      <c r="F413" s="13" t="n">
        <v>113343</v>
      </c>
      <c r="G413" s="12" t="n">
        <v>6.6</v>
      </c>
      <c r="H413" s="19" t="n">
        <f aca="false">E413-F413</f>
        <v>71482</v>
      </c>
    </row>
    <row r="414" customFormat="false" ht="15" hidden="false" customHeight="false" outlineLevel="0" collapsed="false">
      <c r="B414" s="18" t="n">
        <v>46218</v>
      </c>
      <c r="C414" s="12" t="s">
        <v>16</v>
      </c>
      <c r="D414" s="12" t="n">
        <v>166</v>
      </c>
      <c r="E414" s="13" t="n">
        <v>120716</v>
      </c>
      <c r="F414" s="13" t="n">
        <v>139233</v>
      </c>
      <c r="G414" s="12" t="n">
        <v>2.9</v>
      </c>
      <c r="H414" s="19" t="n">
        <f aca="false">E414-F414</f>
        <v>-18517</v>
      </c>
    </row>
    <row r="415" customFormat="false" ht="15" hidden="false" customHeight="false" outlineLevel="0" collapsed="false">
      <c r="B415" s="18" t="n">
        <v>46218</v>
      </c>
      <c r="C415" s="12" t="s">
        <v>19</v>
      </c>
      <c r="D415" s="12" t="n">
        <v>178</v>
      </c>
      <c r="E415" s="13" t="n">
        <v>196170</v>
      </c>
      <c r="F415" s="13" t="n">
        <v>74005</v>
      </c>
      <c r="G415" s="12" t="n">
        <v>5.2</v>
      </c>
      <c r="H415" s="19" t="n">
        <f aca="false">E415-F415</f>
        <v>122165</v>
      </c>
    </row>
    <row r="416" customFormat="false" ht="15" hidden="false" customHeight="false" outlineLevel="0" collapsed="false">
      <c r="B416" s="18" t="n">
        <v>46218</v>
      </c>
      <c r="C416" s="12" t="s">
        <v>22</v>
      </c>
      <c r="D416" s="12" t="n">
        <v>168</v>
      </c>
      <c r="E416" s="13" t="n">
        <v>109300</v>
      </c>
      <c r="F416" s="13" t="n">
        <v>153015</v>
      </c>
      <c r="G416" s="12" t="n">
        <v>8.2</v>
      </c>
      <c r="H416" s="19" t="n">
        <f aca="false">E416-F416</f>
        <v>-43715</v>
      </c>
    </row>
    <row r="417" customFormat="false" ht="15" hidden="false" customHeight="false" outlineLevel="0" collapsed="false">
      <c r="B417" s="18" t="n">
        <v>46218</v>
      </c>
      <c r="C417" s="12" t="s">
        <v>25</v>
      </c>
      <c r="D417" s="12" t="n">
        <v>118</v>
      </c>
      <c r="E417" s="13" t="n">
        <v>211296</v>
      </c>
      <c r="F417" s="13" t="n">
        <v>101288</v>
      </c>
      <c r="G417" s="12" t="n">
        <v>3.8</v>
      </c>
      <c r="H417" s="19" t="n">
        <f aca="false">E417-F417</f>
        <v>110008</v>
      </c>
    </row>
    <row r="418" customFormat="false" ht="15" hidden="false" customHeight="false" outlineLevel="0" collapsed="false">
      <c r="B418" s="18" t="n">
        <v>46219</v>
      </c>
      <c r="C418" s="12" t="s">
        <v>13</v>
      </c>
      <c r="D418" s="12" t="n">
        <v>92</v>
      </c>
      <c r="E418" s="13" t="n">
        <v>120271</v>
      </c>
      <c r="F418" s="13" t="n">
        <v>170911</v>
      </c>
      <c r="G418" s="12" t="n">
        <v>4.1</v>
      </c>
      <c r="H418" s="19" t="n">
        <f aca="false">E418-F418</f>
        <v>-50640</v>
      </c>
    </row>
    <row r="419" customFormat="false" ht="15" hidden="false" customHeight="false" outlineLevel="0" collapsed="false">
      <c r="B419" s="18" t="n">
        <v>46219</v>
      </c>
      <c r="C419" s="12" t="s">
        <v>16</v>
      </c>
      <c r="D419" s="12" t="n">
        <v>142</v>
      </c>
      <c r="E419" s="13" t="n">
        <v>141087</v>
      </c>
      <c r="F419" s="13" t="n">
        <v>70387</v>
      </c>
      <c r="G419" s="12" t="n">
        <v>3.4</v>
      </c>
      <c r="H419" s="19" t="n">
        <f aca="false">E419-F419</f>
        <v>70700</v>
      </c>
    </row>
    <row r="420" customFormat="false" ht="15" hidden="false" customHeight="false" outlineLevel="0" collapsed="false">
      <c r="B420" s="18" t="n">
        <v>46219</v>
      </c>
      <c r="C420" s="12" t="s">
        <v>19</v>
      </c>
      <c r="D420" s="12" t="n">
        <v>146</v>
      </c>
      <c r="E420" s="13" t="n">
        <v>144786</v>
      </c>
      <c r="F420" s="13" t="n">
        <v>100111</v>
      </c>
      <c r="G420" s="12" t="n">
        <v>7.1</v>
      </c>
      <c r="H420" s="19" t="n">
        <f aca="false">E420-F420</f>
        <v>44675</v>
      </c>
    </row>
    <row r="421" customFormat="false" ht="15" hidden="false" customHeight="false" outlineLevel="0" collapsed="false">
      <c r="B421" s="18" t="n">
        <v>46219</v>
      </c>
      <c r="C421" s="12" t="s">
        <v>22</v>
      </c>
      <c r="D421" s="12" t="n">
        <v>192</v>
      </c>
      <c r="E421" s="13" t="n">
        <v>157405</v>
      </c>
      <c r="F421" s="13" t="n">
        <v>177983</v>
      </c>
      <c r="G421" s="12" t="n">
        <v>6.3</v>
      </c>
      <c r="H421" s="19" t="n">
        <f aca="false">E421-F421</f>
        <v>-20578</v>
      </c>
    </row>
    <row r="422" customFormat="false" ht="15" hidden="false" customHeight="false" outlineLevel="0" collapsed="false">
      <c r="B422" s="18" t="n">
        <v>46219</v>
      </c>
      <c r="C422" s="12" t="s">
        <v>25</v>
      </c>
      <c r="D422" s="12" t="n">
        <v>180</v>
      </c>
      <c r="E422" s="13" t="n">
        <v>219903</v>
      </c>
      <c r="F422" s="13" t="n">
        <v>107038</v>
      </c>
      <c r="G422" s="12" t="n">
        <v>2.9</v>
      </c>
      <c r="H422" s="19" t="n">
        <f aca="false">E422-F422</f>
        <v>112865</v>
      </c>
    </row>
    <row r="423" customFormat="false" ht="15" hidden="false" customHeight="false" outlineLevel="0" collapsed="false">
      <c r="B423" s="18" t="n">
        <v>46220</v>
      </c>
      <c r="C423" s="12" t="s">
        <v>13</v>
      </c>
      <c r="D423" s="12" t="n">
        <v>205</v>
      </c>
      <c r="E423" s="13" t="n">
        <v>248216</v>
      </c>
      <c r="F423" s="13" t="n">
        <v>117712</v>
      </c>
      <c r="G423" s="12" t="n">
        <v>4.5</v>
      </c>
      <c r="H423" s="19" t="n">
        <f aca="false">E423-F423</f>
        <v>130504</v>
      </c>
    </row>
    <row r="424" customFormat="false" ht="15" hidden="false" customHeight="false" outlineLevel="0" collapsed="false">
      <c r="B424" s="18" t="n">
        <v>46220</v>
      </c>
      <c r="C424" s="12" t="s">
        <v>16</v>
      </c>
      <c r="D424" s="12" t="n">
        <v>174</v>
      </c>
      <c r="E424" s="13" t="n">
        <v>190172</v>
      </c>
      <c r="F424" s="13" t="n">
        <v>103097</v>
      </c>
      <c r="G424" s="12" t="n">
        <v>8.7</v>
      </c>
      <c r="H424" s="19" t="n">
        <f aca="false">E424-F424</f>
        <v>87075</v>
      </c>
    </row>
    <row r="425" customFormat="false" ht="15" hidden="false" customHeight="false" outlineLevel="0" collapsed="false">
      <c r="B425" s="18" t="n">
        <v>46220</v>
      </c>
      <c r="C425" s="12" t="s">
        <v>19</v>
      </c>
      <c r="D425" s="12" t="n">
        <v>196</v>
      </c>
      <c r="E425" s="13" t="n">
        <v>196827</v>
      </c>
      <c r="F425" s="13" t="n">
        <v>127931</v>
      </c>
      <c r="G425" s="12" t="n">
        <v>3</v>
      </c>
      <c r="H425" s="19" t="n">
        <f aca="false">E425-F425</f>
        <v>68896</v>
      </c>
    </row>
    <row r="426" customFormat="false" ht="15" hidden="false" customHeight="false" outlineLevel="0" collapsed="false">
      <c r="B426" s="18" t="n">
        <v>46220</v>
      </c>
      <c r="C426" s="12" t="s">
        <v>22</v>
      </c>
      <c r="D426" s="12" t="n">
        <v>115</v>
      </c>
      <c r="E426" s="13" t="n">
        <v>128556</v>
      </c>
      <c r="F426" s="13" t="n">
        <v>184496</v>
      </c>
      <c r="G426" s="12" t="n">
        <v>5.1</v>
      </c>
      <c r="H426" s="19" t="n">
        <f aca="false">E426-F426</f>
        <v>-55940</v>
      </c>
    </row>
    <row r="427" customFormat="false" ht="15" hidden="false" customHeight="false" outlineLevel="0" collapsed="false">
      <c r="B427" s="18" t="n">
        <v>46220</v>
      </c>
      <c r="C427" s="12" t="s">
        <v>25</v>
      </c>
      <c r="D427" s="12" t="n">
        <v>107</v>
      </c>
      <c r="E427" s="13" t="n">
        <v>98246</v>
      </c>
      <c r="F427" s="13" t="n">
        <v>106530</v>
      </c>
      <c r="G427" s="12" t="n">
        <v>5</v>
      </c>
      <c r="H427" s="19" t="n">
        <f aca="false">E427-F427</f>
        <v>-8284</v>
      </c>
    </row>
    <row r="428" customFormat="false" ht="15" hidden="false" customHeight="false" outlineLevel="0" collapsed="false">
      <c r="B428" s="18" t="n">
        <v>46223</v>
      </c>
      <c r="C428" s="12" t="s">
        <v>13</v>
      </c>
      <c r="D428" s="12" t="n">
        <v>199</v>
      </c>
      <c r="E428" s="13" t="n">
        <v>213814</v>
      </c>
      <c r="F428" s="13" t="n">
        <v>152966</v>
      </c>
      <c r="G428" s="12" t="n">
        <v>3.2</v>
      </c>
      <c r="H428" s="19" t="n">
        <f aca="false">E428-F428</f>
        <v>60848</v>
      </c>
    </row>
    <row r="429" customFormat="false" ht="15" hidden="false" customHeight="false" outlineLevel="0" collapsed="false">
      <c r="B429" s="18" t="n">
        <v>46223</v>
      </c>
      <c r="C429" s="12" t="s">
        <v>16</v>
      </c>
      <c r="D429" s="12" t="n">
        <v>153</v>
      </c>
      <c r="E429" s="13" t="n">
        <v>156272</v>
      </c>
      <c r="F429" s="13" t="n">
        <v>77218</v>
      </c>
      <c r="G429" s="12" t="n">
        <v>6.7</v>
      </c>
      <c r="H429" s="19" t="n">
        <f aca="false">E429-F429</f>
        <v>79054</v>
      </c>
    </row>
    <row r="430" customFormat="false" ht="15" hidden="false" customHeight="false" outlineLevel="0" collapsed="false">
      <c r="B430" s="18" t="n">
        <v>46223</v>
      </c>
      <c r="C430" s="12" t="s">
        <v>19</v>
      </c>
      <c r="D430" s="12" t="n">
        <v>182</v>
      </c>
      <c r="E430" s="13" t="n">
        <v>124832</v>
      </c>
      <c r="F430" s="13" t="n">
        <v>187421</v>
      </c>
      <c r="G430" s="12" t="n">
        <v>8.5</v>
      </c>
      <c r="H430" s="19" t="n">
        <f aca="false">E430-F430</f>
        <v>-62589</v>
      </c>
    </row>
    <row r="431" customFormat="false" ht="15" hidden="false" customHeight="false" outlineLevel="0" collapsed="false">
      <c r="B431" s="18" t="n">
        <v>46223</v>
      </c>
      <c r="C431" s="12" t="s">
        <v>22</v>
      </c>
      <c r="D431" s="12" t="n">
        <v>107</v>
      </c>
      <c r="E431" s="13" t="n">
        <v>174004</v>
      </c>
      <c r="F431" s="13" t="n">
        <v>86243</v>
      </c>
      <c r="G431" s="12" t="n">
        <v>5.1</v>
      </c>
      <c r="H431" s="19" t="n">
        <f aca="false">E431-F431</f>
        <v>87761</v>
      </c>
    </row>
    <row r="432" customFormat="false" ht="15" hidden="false" customHeight="false" outlineLevel="0" collapsed="false">
      <c r="B432" s="18" t="n">
        <v>46223</v>
      </c>
      <c r="C432" s="12" t="s">
        <v>25</v>
      </c>
      <c r="D432" s="12" t="n">
        <v>144</v>
      </c>
      <c r="E432" s="13" t="n">
        <v>257698</v>
      </c>
      <c r="F432" s="13" t="n">
        <v>151690</v>
      </c>
      <c r="G432" s="12" t="n">
        <v>2.9</v>
      </c>
      <c r="H432" s="19" t="n">
        <f aca="false">E432-F432</f>
        <v>106008</v>
      </c>
    </row>
    <row r="433" customFormat="false" ht="15" hidden="false" customHeight="false" outlineLevel="0" collapsed="false">
      <c r="B433" s="18" t="n">
        <v>46224</v>
      </c>
      <c r="C433" s="12" t="s">
        <v>13</v>
      </c>
      <c r="D433" s="12" t="n">
        <v>121</v>
      </c>
      <c r="E433" s="13" t="n">
        <v>135251</v>
      </c>
      <c r="F433" s="13" t="n">
        <v>180744</v>
      </c>
      <c r="G433" s="12" t="n">
        <v>5.6</v>
      </c>
      <c r="H433" s="19" t="n">
        <f aca="false">E433-F433</f>
        <v>-45493</v>
      </c>
    </row>
    <row r="434" customFormat="false" ht="15" hidden="false" customHeight="false" outlineLevel="0" collapsed="false">
      <c r="B434" s="18" t="n">
        <v>46224</v>
      </c>
      <c r="C434" s="12" t="s">
        <v>16</v>
      </c>
      <c r="D434" s="12" t="n">
        <v>155</v>
      </c>
      <c r="E434" s="13" t="n">
        <v>165354</v>
      </c>
      <c r="F434" s="13" t="n">
        <v>128295</v>
      </c>
      <c r="G434" s="12" t="n">
        <v>9.2</v>
      </c>
      <c r="H434" s="19" t="n">
        <f aca="false">E434-F434</f>
        <v>37059</v>
      </c>
    </row>
    <row r="435" customFormat="false" ht="15" hidden="false" customHeight="false" outlineLevel="0" collapsed="false">
      <c r="B435" s="18" t="n">
        <v>46224</v>
      </c>
      <c r="C435" s="12" t="s">
        <v>19</v>
      </c>
      <c r="D435" s="12" t="n">
        <v>211</v>
      </c>
      <c r="E435" s="13" t="n">
        <v>192578</v>
      </c>
      <c r="F435" s="13" t="n">
        <v>168491</v>
      </c>
      <c r="G435" s="12" t="n">
        <v>5</v>
      </c>
      <c r="H435" s="19" t="n">
        <f aca="false">E435-F435</f>
        <v>24087</v>
      </c>
    </row>
    <row r="436" customFormat="false" ht="15" hidden="false" customHeight="false" outlineLevel="0" collapsed="false">
      <c r="B436" s="18" t="n">
        <v>46224</v>
      </c>
      <c r="C436" s="12" t="s">
        <v>22</v>
      </c>
      <c r="D436" s="12" t="n">
        <v>173</v>
      </c>
      <c r="E436" s="13" t="n">
        <v>136429</v>
      </c>
      <c r="F436" s="13" t="n">
        <v>104298</v>
      </c>
      <c r="G436" s="12" t="n">
        <v>9.4</v>
      </c>
      <c r="H436" s="19" t="n">
        <f aca="false">E436-F436</f>
        <v>32131</v>
      </c>
    </row>
    <row r="437" customFormat="false" ht="15" hidden="false" customHeight="false" outlineLevel="0" collapsed="false">
      <c r="B437" s="18" t="n">
        <v>46224</v>
      </c>
      <c r="C437" s="12" t="s">
        <v>25</v>
      </c>
      <c r="D437" s="12" t="n">
        <v>130</v>
      </c>
      <c r="E437" s="13" t="n">
        <v>119993</v>
      </c>
      <c r="F437" s="13" t="n">
        <v>182132</v>
      </c>
      <c r="G437" s="12" t="n">
        <v>3.1</v>
      </c>
      <c r="H437" s="19" t="n">
        <f aca="false">E437-F437</f>
        <v>-62139</v>
      </c>
    </row>
  </sheetData>
  <autoFilter ref="B2:H437"/>
  <conditionalFormatting sqref="H3:H437">
    <cfRule type="dataBar" priority="2">
      <dataBar showValue="1" minLength="10" maxLength="90">
        <cfvo type="min" val="0"/>
        <cfvo type="max" val="0"/>
        <color rgb="FF2F6B7A"/>
      </dataBar>
      <extLst>
        <ext xmlns:x14="http://schemas.microsoft.com/office/spreadsheetml/2009/9/main" uri="{B025F937-C7B1-47D3-B67F-A62EFF666E3E}">
          <x14:id>{561EFD87-CA79-4A5F-88B5-E92CC73022FB}</x14:id>
        </ext>
      </extLst>
    </cfRule>
  </conditionalFormatting>
  <conditionalFormatting sqref="G3:G437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1EFD87-CA79-4A5F-88B5-E92CC73022FB}">
            <x14:dataBar minLength="10" maxLength="90" axisPosition="none" gradient="true">
              <x14:cfvo type="min"/>
              <x14:cfvo type="max"/>
              <x14:negativeFillColor rgb="FF2F6B7A"/>
              <x14:axisColor rgb="FF000000"/>
            </x14:dataBar>
          </x14:cfRule>
          <xm:sqref>H3:H437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7" min="6" style="0" width="12"/>
  </cols>
  <sheetData>
    <row r="2" customFormat="false" ht="15" hidden="false" customHeight="false" outlineLevel="0" collapsed="false">
      <c r="B2" s="17" t="s">
        <v>33</v>
      </c>
      <c r="C2" s="17" t="s">
        <v>40</v>
      </c>
      <c r="D2" s="17" t="s">
        <v>34</v>
      </c>
      <c r="E2" s="17" t="s">
        <v>41</v>
      </c>
      <c r="F2" s="17" t="s">
        <v>42</v>
      </c>
      <c r="G2" s="17" t="s">
        <v>43</v>
      </c>
    </row>
    <row r="3" customFormat="false" ht="15" hidden="false" customHeight="false" outlineLevel="0" collapsed="false">
      <c r="B3" s="18" t="n">
        <v>46155</v>
      </c>
      <c r="C3" s="12" t="s">
        <v>44</v>
      </c>
      <c r="D3" s="12" t="s">
        <v>19</v>
      </c>
      <c r="E3" s="12" t="s">
        <v>28</v>
      </c>
      <c r="F3" s="12" t="s">
        <v>45</v>
      </c>
      <c r="G3" s="20" t="n">
        <f aca="false">IF(F3="Converted",1,0)</f>
        <v>0</v>
      </c>
    </row>
    <row r="4" customFormat="false" ht="15" hidden="false" customHeight="false" outlineLevel="0" collapsed="false">
      <c r="B4" s="18" t="n">
        <v>46220</v>
      </c>
      <c r="C4" s="12" t="s">
        <v>46</v>
      </c>
      <c r="D4" s="12" t="s">
        <v>16</v>
      </c>
      <c r="E4" s="12" t="s">
        <v>31</v>
      </c>
      <c r="F4" s="12" t="s">
        <v>47</v>
      </c>
      <c r="G4" s="20" t="n">
        <f aca="false">IF(F4="Converted",1,0)</f>
        <v>1</v>
      </c>
    </row>
    <row r="5" customFormat="false" ht="15" hidden="false" customHeight="false" outlineLevel="0" collapsed="false">
      <c r="B5" s="18" t="n">
        <v>46149</v>
      </c>
      <c r="C5" s="12" t="s">
        <v>48</v>
      </c>
      <c r="D5" s="12" t="s">
        <v>22</v>
      </c>
      <c r="E5" s="12" t="s">
        <v>30</v>
      </c>
      <c r="F5" s="12" t="s">
        <v>45</v>
      </c>
      <c r="G5" s="20" t="n">
        <f aca="false">IF(F5="Converted",1,0)</f>
        <v>0</v>
      </c>
    </row>
    <row r="6" customFormat="false" ht="15" hidden="false" customHeight="false" outlineLevel="0" collapsed="false">
      <c r="B6" s="18" t="n">
        <v>46207</v>
      </c>
      <c r="C6" s="12" t="s">
        <v>49</v>
      </c>
      <c r="D6" s="12" t="s">
        <v>19</v>
      </c>
      <c r="E6" s="12" t="s">
        <v>28</v>
      </c>
      <c r="F6" s="12" t="s">
        <v>45</v>
      </c>
      <c r="G6" s="20" t="n">
        <f aca="false">IF(F6="Converted",1,0)</f>
        <v>0</v>
      </c>
    </row>
    <row r="7" customFormat="false" ht="15" hidden="false" customHeight="false" outlineLevel="0" collapsed="false">
      <c r="B7" s="18" t="n">
        <v>46179</v>
      </c>
      <c r="C7" s="12" t="s">
        <v>50</v>
      </c>
      <c r="D7" s="12" t="s">
        <v>19</v>
      </c>
      <c r="E7" s="12" t="s">
        <v>26</v>
      </c>
      <c r="F7" s="12" t="s">
        <v>51</v>
      </c>
      <c r="G7" s="20" t="n">
        <f aca="false">IF(F7="Converted",1,0)</f>
        <v>0</v>
      </c>
    </row>
    <row r="8" customFormat="false" ht="15" hidden="false" customHeight="false" outlineLevel="0" collapsed="false">
      <c r="B8" s="18" t="n">
        <v>46201</v>
      </c>
      <c r="C8" s="12" t="s">
        <v>49</v>
      </c>
      <c r="D8" s="12" t="s">
        <v>25</v>
      </c>
      <c r="E8" s="12" t="s">
        <v>23</v>
      </c>
      <c r="F8" s="12" t="s">
        <v>45</v>
      </c>
      <c r="G8" s="20" t="n">
        <f aca="false">IF(F8="Converted",1,0)</f>
        <v>0</v>
      </c>
    </row>
    <row r="9" customFormat="false" ht="15" hidden="false" customHeight="false" outlineLevel="0" collapsed="false">
      <c r="B9" s="18" t="n">
        <v>46144</v>
      </c>
      <c r="C9" s="12" t="s">
        <v>50</v>
      </c>
      <c r="D9" s="12" t="s">
        <v>25</v>
      </c>
      <c r="E9" s="12" t="s">
        <v>17</v>
      </c>
      <c r="F9" s="12" t="s">
        <v>51</v>
      </c>
      <c r="G9" s="20" t="n">
        <f aca="false">IF(F9="Converted",1,0)</f>
        <v>0</v>
      </c>
    </row>
    <row r="10" customFormat="false" ht="15" hidden="false" customHeight="false" outlineLevel="0" collapsed="false">
      <c r="B10" s="18" t="n">
        <v>46181</v>
      </c>
      <c r="C10" s="12" t="s">
        <v>50</v>
      </c>
      <c r="D10" s="12" t="s">
        <v>19</v>
      </c>
      <c r="E10" s="12" t="s">
        <v>26</v>
      </c>
      <c r="F10" s="12" t="s">
        <v>45</v>
      </c>
      <c r="G10" s="20" t="n">
        <f aca="false">IF(F10="Converted",1,0)</f>
        <v>0</v>
      </c>
    </row>
    <row r="11" customFormat="false" ht="15" hidden="false" customHeight="false" outlineLevel="0" collapsed="false">
      <c r="B11" s="18" t="n">
        <v>46205</v>
      </c>
      <c r="C11" s="12" t="s">
        <v>49</v>
      </c>
      <c r="D11" s="12" t="s">
        <v>13</v>
      </c>
      <c r="E11" s="12" t="s">
        <v>20</v>
      </c>
      <c r="F11" s="12" t="s">
        <v>45</v>
      </c>
      <c r="G11" s="20" t="n">
        <f aca="false">IF(F11="Converted",1,0)</f>
        <v>0</v>
      </c>
    </row>
    <row r="12" customFormat="false" ht="15" hidden="false" customHeight="false" outlineLevel="0" collapsed="false">
      <c r="B12" s="18" t="n">
        <v>46143</v>
      </c>
      <c r="C12" s="12" t="s">
        <v>44</v>
      </c>
      <c r="D12" s="12" t="s">
        <v>13</v>
      </c>
      <c r="E12" s="12" t="s">
        <v>30</v>
      </c>
      <c r="F12" s="12" t="s">
        <v>47</v>
      </c>
      <c r="G12" s="20" t="n">
        <f aca="false">IF(F12="Converted",1,0)</f>
        <v>1</v>
      </c>
    </row>
    <row r="13" customFormat="false" ht="15" hidden="false" customHeight="false" outlineLevel="0" collapsed="false">
      <c r="B13" s="18" t="n">
        <v>46152</v>
      </c>
      <c r="C13" s="12" t="s">
        <v>52</v>
      </c>
      <c r="D13" s="12" t="s">
        <v>19</v>
      </c>
      <c r="E13" s="12" t="s">
        <v>26</v>
      </c>
      <c r="F13" s="12" t="s">
        <v>45</v>
      </c>
      <c r="G13" s="20" t="n">
        <f aca="false">IF(F13="Converted",1,0)</f>
        <v>0</v>
      </c>
    </row>
    <row r="14" customFormat="false" ht="15" hidden="false" customHeight="false" outlineLevel="0" collapsed="false">
      <c r="B14" s="18" t="n">
        <v>46187</v>
      </c>
      <c r="C14" s="12" t="s">
        <v>44</v>
      </c>
      <c r="D14" s="12" t="s">
        <v>16</v>
      </c>
      <c r="E14" s="12" t="s">
        <v>28</v>
      </c>
      <c r="F14" s="12" t="s">
        <v>51</v>
      </c>
      <c r="G14" s="20" t="n">
        <f aca="false">IF(F14="Converted",1,0)</f>
        <v>0</v>
      </c>
    </row>
    <row r="15" customFormat="false" ht="15" hidden="false" customHeight="false" outlineLevel="0" collapsed="false">
      <c r="B15" s="18" t="n">
        <v>46205</v>
      </c>
      <c r="C15" s="12" t="s">
        <v>52</v>
      </c>
      <c r="D15" s="12" t="s">
        <v>13</v>
      </c>
      <c r="E15" s="12" t="s">
        <v>26</v>
      </c>
      <c r="F15" s="12" t="s">
        <v>45</v>
      </c>
      <c r="G15" s="20" t="n">
        <f aca="false">IF(F15="Converted",1,0)</f>
        <v>0</v>
      </c>
    </row>
    <row r="16" customFormat="false" ht="15" hidden="false" customHeight="false" outlineLevel="0" collapsed="false">
      <c r="B16" s="18" t="n">
        <v>46213</v>
      </c>
      <c r="C16" s="12" t="s">
        <v>44</v>
      </c>
      <c r="D16" s="12" t="s">
        <v>19</v>
      </c>
      <c r="E16" s="12" t="s">
        <v>20</v>
      </c>
      <c r="F16" s="12" t="s">
        <v>45</v>
      </c>
      <c r="G16" s="20" t="n">
        <f aca="false">IF(F16="Converted",1,0)</f>
        <v>0</v>
      </c>
    </row>
    <row r="17" customFormat="false" ht="15" hidden="false" customHeight="false" outlineLevel="0" collapsed="false">
      <c r="B17" s="18" t="n">
        <v>46174</v>
      </c>
      <c r="C17" s="12" t="s">
        <v>48</v>
      </c>
      <c r="D17" s="12" t="s">
        <v>25</v>
      </c>
      <c r="E17" s="12" t="s">
        <v>20</v>
      </c>
      <c r="F17" s="12" t="s">
        <v>45</v>
      </c>
      <c r="G17" s="20" t="n">
        <f aca="false">IF(F17="Converted",1,0)</f>
        <v>0</v>
      </c>
    </row>
    <row r="18" customFormat="false" ht="15" hidden="false" customHeight="false" outlineLevel="0" collapsed="false">
      <c r="B18" s="18" t="n">
        <v>46199</v>
      </c>
      <c r="C18" s="12" t="s">
        <v>52</v>
      </c>
      <c r="D18" s="12" t="s">
        <v>13</v>
      </c>
      <c r="E18" s="12" t="s">
        <v>28</v>
      </c>
      <c r="F18" s="12" t="s">
        <v>45</v>
      </c>
      <c r="G18" s="20" t="n">
        <f aca="false">IF(F18="Converted",1,0)</f>
        <v>0</v>
      </c>
    </row>
    <row r="19" customFormat="false" ht="15" hidden="false" customHeight="false" outlineLevel="0" collapsed="false">
      <c r="B19" s="18" t="n">
        <v>46149</v>
      </c>
      <c r="C19" s="12" t="s">
        <v>50</v>
      </c>
      <c r="D19" s="12" t="s">
        <v>19</v>
      </c>
      <c r="E19" s="12" t="s">
        <v>26</v>
      </c>
      <c r="F19" s="12" t="s">
        <v>45</v>
      </c>
      <c r="G19" s="20" t="n">
        <f aca="false">IF(F19="Converted",1,0)</f>
        <v>0</v>
      </c>
    </row>
    <row r="20" customFormat="false" ht="15" hidden="false" customHeight="false" outlineLevel="0" collapsed="false">
      <c r="B20" s="18" t="n">
        <v>46163</v>
      </c>
      <c r="C20" s="12" t="s">
        <v>48</v>
      </c>
      <c r="D20" s="12" t="s">
        <v>13</v>
      </c>
      <c r="E20" s="12" t="s">
        <v>23</v>
      </c>
      <c r="F20" s="12" t="s">
        <v>45</v>
      </c>
      <c r="G20" s="20" t="n">
        <f aca="false">IF(F20="Converted",1,0)</f>
        <v>0</v>
      </c>
    </row>
    <row r="21" customFormat="false" ht="15" hidden="false" customHeight="false" outlineLevel="0" collapsed="false">
      <c r="B21" s="18" t="n">
        <v>46144</v>
      </c>
      <c r="C21" s="12" t="s">
        <v>53</v>
      </c>
      <c r="D21" s="12" t="s">
        <v>25</v>
      </c>
      <c r="E21" s="12" t="s">
        <v>20</v>
      </c>
      <c r="F21" s="12" t="s">
        <v>51</v>
      </c>
      <c r="G21" s="20" t="n">
        <f aca="false">IF(F21="Converted",1,0)</f>
        <v>0</v>
      </c>
    </row>
    <row r="22" customFormat="false" ht="15" hidden="false" customHeight="false" outlineLevel="0" collapsed="false">
      <c r="B22" s="18" t="n">
        <v>46161</v>
      </c>
      <c r="C22" s="12" t="s">
        <v>50</v>
      </c>
      <c r="D22" s="12" t="s">
        <v>16</v>
      </c>
      <c r="E22" s="12" t="s">
        <v>20</v>
      </c>
      <c r="F22" s="12" t="s">
        <v>51</v>
      </c>
      <c r="G22" s="20" t="n">
        <f aca="false">IF(F22="Converted",1,0)</f>
        <v>0</v>
      </c>
    </row>
    <row r="23" customFormat="false" ht="15" hidden="false" customHeight="false" outlineLevel="0" collapsed="false">
      <c r="B23" s="18" t="n">
        <v>46166</v>
      </c>
      <c r="C23" s="12" t="s">
        <v>52</v>
      </c>
      <c r="D23" s="12" t="s">
        <v>25</v>
      </c>
      <c r="E23" s="12" t="s">
        <v>31</v>
      </c>
      <c r="F23" s="12" t="s">
        <v>45</v>
      </c>
      <c r="G23" s="20" t="n">
        <f aca="false">IF(F23="Converted",1,0)</f>
        <v>0</v>
      </c>
    </row>
    <row r="24" customFormat="false" ht="15" hidden="false" customHeight="false" outlineLevel="0" collapsed="false">
      <c r="B24" s="18" t="n">
        <v>46157</v>
      </c>
      <c r="C24" s="12" t="s">
        <v>52</v>
      </c>
      <c r="D24" s="12" t="s">
        <v>19</v>
      </c>
      <c r="E24" s="12" t="s">
        <v>30</v>
      </c>
      <c r="F24" s="12" t="s">
        <v>45</v>
      </c>
      <c r="G24" s="20" t="n">
        <f aca="false">IF(F24="Converted",1,0)</f>
        <v>0</v>
      </c>
    </row>
    <row r="25" customFormat="false" ht="15" hidden="false" customHeight="false" outlineLevel="0" collapsed="false">
      <c r="B25" s="18" t="n">
        <v>46139</v>
      </c>
      <c r="C25" s="12" t="s">
        <v>44</v>
      </c>
      <c r="D25" s="12" t="s">
        <v>25</v>
      </c>
      <c r="E25" s="12" t="s">
        <v>20</v>
      </c>
      <c r="F25" s="12" t="s">
        <v>51</v>
      </c>
      <c r="G25" s="20" t="n">
        <f aca="false">IF(F25="Converted",1,0)</f>
        <v>0</v>
      </c>
    </row>
    <row r="26" customFormat="false" ht="15" hidden="false" customHeight="false" outlineLevel="0" collapsed="false">
      <c r="B26" s="18" t="n">
        <v>46155</v>
      </c>
      <c r="C26" s="12" t="s">
        <v>49</v>
      </c>
      <c r="D26" s="12" t="s">
        <v>22</v>
      </c>
      <c r="E26" s="12" t="s">
        <v>31</v>
      </c>
      <c r="F26" s="12" t="s">
        <v>51</v>
      </c>
      <c r="G26" s="20" t="n">
        <f aca="false">IF(F26="Converted",1,0)</f>
        <v>0</v>
      </c>
    </row>
    <row r="27" customFormat="false" ht="15" hidden="false" customHeight="false" outlineLevel="0" collapsed="false">
      <c r="B27" s="18" t="n">
        <v>46138</v>
      </c>
      <c r="C27" s="12" t="s">
        <v>44</v>
      </c>
      <c r="D27" s="12" t="s">
        <v>19</v>
      </c>
      <c r="E27" s="12" t="s">
        <v>30</v>
      </c>
      <c r="F27" s="12" t="s">
        <v>45</v>
      </c>
      <c r="G27" s="20" t="n">
        <f aca="false">IF(F27="Converted",1,0)</f>
        <v>0</v>
      </c>
    </row>
    <row r="28" customFormat="false" ht="15" hidden="false" customHeight="false" outlineLevel="0" collapsed="false">
      <c r="B28" s="18" t="n">
        <v>46155</v>
      </c>
      <c r="C28" s="12" t="s">
        <v>53</v>
      </c>
      <c r="D28" s="12" t="s">
        <v>13</v>
      </c>
      <c r="E28" s="12" t="s">
        <v>17</v>
      </c>
      <c r="F28" s="12" t="s">
        <v>51</v>
      </c>
      <c r="G28" s="20" t="n">
        <f aca="false">IF(F28="Converted",1,0)</f>
        <v>0</v>
      </c>
    </row>
    <row r="29" customFormat="false" ht="15" hidden="false" customHeight="false" outlineLevel="0" collapsed="false">
      <c r="B29" s="18" t="n">
        <v>46167</v>
      </c>
      <c r="C29" s="12" t="s">
        <v>46</v>
      </c>
      <c r="D29" s="12" t="s">
        <v>16</v>
      </c>
      <c r="E29" s="12" t="s">
        <v>31</v>
      </c>
      <c r="F29" s="12" t="s">
        <v>45</v>
      </c>
      <c r="G29" s="20" t="n">
        <f aca="false">IF(F29="Converted",1,0)</f>
        <v>0</v>
      </c>
    </row>
    <row r="30" customFormat="false" ht="15" hidden="false" customHeight="false" outlineLevel="0" collapsed="false">
      <c r="B30" s="18" t="n">
        <v>46152</v>
      </c>
      <c r="C30" s="12" t="s">
        <v>50</v>
      </c>
      <c r="D30" s="12" t="s">
        <v>19</v>
      </c>
      <c r="E30" s="12" t="s">
        <v>23</v>
      </c>
      <c r="F30" s="12" t="s">
        <v>51</v>
      </c>
      <c r="G30" s="20" t="n">
        <f aca="false">IF(F30="Converted",1,0)</f>
        <v>0</v>
      </c>
    </row>
    <row r="31" customFormat="false" ht="15" hidden="false" customHeight="false" outlineLevel="0" collapsed="false">
      <c r="B31" s="18" t="n">
        <v>46212</v>
      </c>
      <c r="C31" s="12" t="s">
        <v>50</v>
      </c>
      <c r="D31" s="12" t="s">
        <v>13</v>
      </c>
      <c r="E31" s="12" t="s">
        <v>23</v>
      </c>
      <c r="F31" s="12" t="s">
        <v>45</v>
      </c>
      <c r="G31" s="20" t="n">
        <f aca="false">IF(F31="Converted",1,0)</f>
        <v>0</v>
      </c>
    </row>
    <row r="32" customFormat="false" ht="15" hidden="false" customHeight="false" outlineLevel="0" collapsed="false">
      <c r="B32" s="18" t="n">
        <v>46161</v>
      </c>
      <c r="C32" s="12" t="s">
        <v>46</v>
      </c>
      <c r="D32" s="12" t="s">
        <v>13</v>
      </c>
      <c r="E32" s="12" t="s">
        <v>20</v>
      </c>
      <c r="F32" s="12" t="s">
        <v>45</v>
      </c>
      <c r="G32" s="20" t="n">
        <f aca="false">IF(F32="Converted",1,0)</f>
        <v>0</v>
      </c>
    </row>
    <row r="33" customFormat="false" ht="15" hidden="false" customHeight="false" outlineLevel="0" collapsed="false">
      <c r="B33" s="18" t="n">
        <v>46153</v>
      </c>
      <c r="C33" s="12" t="s">
        <v>49</v>
      </c>
      <c r="D33" s="12" t="s">
        <v>16</v>
      </c>
      <c r="E33" s="12" t="s">
        <v>30</v>
      </c>
      <c r="F33" s="12" t="s">
        <v>45</v>
      </c>
      <c r="G33" s="20" t="n">
        <f aca="false">IF(F33="Converted",1,0)</f>
        <v>0</v>
      </c>
    </row>
    <row r="34" customFormat="false" ht="15" hidden="false" customHeight="false" outlineLevel="0" collapsed="false">
      <c r="B34" s="18" t="n">
        <v>46180</v>
      </c>
      <c r="C34" s="12" t="s">
        <v>46</v>
      </c>
      <c r="D34" s="12" t="s">
        <v>25</v>
      </c>
      <c r="E34" s="12" t="s">
        <v>31</v>
      </c>
      <c r="F34" s="12" t="s">
        <v>51</v>
      </c>
      <c r="G34" s="20" t="n">
        <f aca="false">IF(F34="Converted",1,0)</f>
        <v>0</v>
      </c>
    </row>
    <row r="35" customFormat="false" ht="15" hidden="false" customHeight="false" outlineLevel="0" collapsed="false">
      <c r="B35" s="18" t="n">
        <v>46174</v>
      </c>
      <c r="C35" s="12" t="s">
        <v>52</v>
      </c>
      <c r="D35" s="12" t="s">
        <v>22</v>
      </c>
      <c r="E35" s="12" t="s">
        <v>23</v>
      </c>
      <c r="F35" s="12" t="s">
        <v>51</v>
      </c>
      <c r="G35" s="20" t="n">
        <f aca="false">IF(F35="Converted",1,0)</f>
        <v>0</v>
      </c>
    </row>
    <row r="36" customFormat="false" ht="15" hidden="false" customHeight="false" outlineLevel="0" collapsed="false">
      <c r="B36" s="18" t="n">
        <v>46199</v>
      </c>
      <c r="C36" s="12" t="s">
        <v>44</v>
      </c>
      <c r="D36" s="12" t="s">
        <v>25</v>
      </c>
      <c r="E36" s="12" t="s">
        <v>26</v>
      </c>
      <c r="F36" s="12" t="s">
        <v>45</v>
      </c>
      <c r="G36" s="20" t="n">
        <f aca="false">IF(F36="Converted",1,0)</f>
        <v>0</v>
      </c>
    </row>
    <row r="37" customFormat="false" ht="15" hidden="false" customHeight="false" outlineLevel="0" collapsed="false">
      <c r="B37" s="18" t="n">
        <v>46218</v>
      </c>
      <c r="C37" s="12" t="s">
        <v>48</v>
      </c>
      <c r="D37" s="12" t="s">
        <v>13</v>
      </c>
      <c r="E37" s="12" t="s">
        <v>14</v>
      </c>
      <c r="F37" s="12" t="s">
        <v>45</v>
      </c>
      <c r="G37" s="20" t="n">
        <f aca="false">IF(F37="Converted",1,0)</f>
        <v>0</v>
      </c>
    </row>
    <row r="38" customFormat="false" ht="15" hidden="false" customHeight="false" outlineLevel="0" collapsed="false">
      <c r="B38" s="18" t="n">
        <v>46163</v>
      </c>
      <c r="C38" s="12" t="s">
        <v>44</v>
      </c>
      <c r="D38" s="12" t="s">
        <v>22</v>
      </c>
      <c r="E38" s="12" t="s">
        <v>31</v>
      </c>
      <c r="F38" s="12" t="s">
        <v>45</v>
      </c>
      <c r="G38" s="20" t="n">
        <f aca="false">IF(F38="Converted",1,0)</f>
        <v>0</v>
      </c>
    </row>
    <row r="39" customFormat="false" ht="15" hidden="false" customHeight="false" outlineLevel="0" collapsed="false">
      <c r="B39" s="18" t="n">
        <v>46186</v>
      </c>
      <c r="C39" s="12" t="s">
        <v>44</v>
      </c>
      <c r="D39" s="12" t="s">
        <v>22</v>
      </c>
      <c r="E39" s="12" t="s">
        <v>31</v>
      </c>
      <c r="F39" s="12" t="s">
        <v>47</v>
      </c>
      <c r="G39" s="20" t="n">
        <f aca="false">IF(F39="Converted",1,0)</f>
        <v>1</v>
      </c>
    </row>
    <row r="40" customFormat="false" ht="15" hidden="false" customHeight="false" outlineLevel="0" collapsed="false">
      <c r="B40" s="18" t="n">
        <v>46204</v>
      </c>
      <c r="C40" s="12" t="s">
        <v>49</v>
      </c>
      <c r="D40" s="12" t="s">
        <v>16</v>
      </c>
      <c r="E40" s="12" t="s">
        <v>14</v>
      </c>
      <c r="F40" s="12" t="s">
        <v>45</v>
      </c>
      <c r="G40" s="20" t="n">
        <f aca="false">IF(F40="Converted",1,0)</f>
        <v>0</v>
      </c>
    </row>
    <row r="41" customFormat="false" ht="15" hidden="false" customHeight="false" outlineLevel="0" collapsed="false">
      <c r="B41" s="18" t="n">
        <v>46170</v>
      </c>
      <c r="C41" s="12" t="s">
        <v>48</v>
      </c>
      <c r="D41" s="12" t="s">
        <v>19</v>
      </c>
      <c r="E41" s="12" t="s">
        <v>28</v>
      </c>
      <c r="F41" s="12" t="s">
        <v>45</v>
      </c>
      <c r="G41" s="20" t="n">
        <f aca="false">IF(F41="Converted",1,0)</f>
        <v>0</v>
      </c>
    </row>
    <row r="42" customFormat="false" ht="15" hidden="false" customHeight="false" outlineLevel="0" collapsed="false">
      <c r="B42" s="18" t="n">
        <v>46206</v>
      </c>
      <c r="C42" s="12" t="s">
        <v>53</v>
      </c>
      <c r="D42" s="12" t="s">
        <v>25</v>
      </c>
      <c r="E42" s="12" t="s">
        <v>14</v>
      </c>
      <c r="F42" s="12" t="s">
        <v>47</v>
      </c>
      <c r="G42" s="20" t="n">
        <f aca="false">IF(F42="Converted",1,0)</f>
        <v>1</v>
      </c>
    </row>
    <row r="43" customFormat="false" ht="15" hidden="false" customHeight="false" outlineLevel="0" collapsed="false">
      <c r="B43" s="18" t="n">
        <v>46182</v>
      </c>
      <c r="C43" s="12" t="s">
        <v>46</v>
      </c>
      <c r="D43" s="12" t="s">
        <v>16</v>
      </c>
      <c r="E43" s="12" t="s">
        <v>26</v>
      </c>
      <c r="F43" s="12" t="s">
        <v>47</v>
      </c>
      <c r="G43" s="20" t="n">
        <f aca="false">IF(F43="Converted",1,0)</f>
        <v>1</v>
      </c>
    </row>
    <row r="44" customFormat="false" ht="15" hidden="false" customHeight="false" outlineLevel="0" collapsed="false">
      <c r="B44" s="18" t="n">
        <v>46179</v>
      </c>
      <c r="C44" s="12" t="s">
        <v>52</v>
      </c>
      <c r="D44" s="12" t="s">
        <v>16</v>
      </c>
      <c r="E44" s="12" t="s">
        <v>26</v>
      </c>
      <c r="F44" s="12" t="s">
        <v>47</v>
      </c>
      <c r="G44" s="20" t="n">
        <f aca="false">IF(F44="Converted",1,0)</f>
        <v>1</v>
      </c>
    </row>
    <row r="45" customFormat="false" ht="15" hidden="false" customHeight="false" outlineLevel="0" collapsed="false">
      <c r="B45" s="18" t="n">
        <v>46138</v>
      </c>
      <c r="C45" s="12" t="s">
        <v>52</v>
      </c>
      <c r="D45" s="12" t="s">
        <v>19</v>
      </c>
      <c r="E45" s="12" t="s">
        <v>31</v>
      </c>
      <c r="F45" s="12" t="s">
        <v>45</v>
      </c>
      <c r="G45" s="20" t="n">
        <f aca="false">IF(F45="Converted",1,0)</f>
        <v>0</v>
      </c>
    </row>
    <row r="46" customFormat="false" ht="15" hidden="false" customHeight="false" outlineLevel="0" collapsed="false">
      <c r="B46" s="18" t="n">
        <v>46204</v>
      </c>
      <c r="C46" s="12" t="s">
        <v>46</v>
      </c>
      <c r="D46" s="12" t="s">
        <v>13</v>
      </c>
      <c r="E46" s="12" t="s">
        <v>28</v>
      </c>
      <c r="F46" s="12" t="s">
        <v>47</v>
      </c>
      <c r="G46" s="20" t="n">
        <f aca="false">IF(F46="Converted",1,0)</f>
        <v>1</v>
      </c>
    </row>
    <row r="47" customFormat="false" ht="15" hidden="false" customHeight="false" outlineLevel="0" collapsed="false">
      <c r="B47" s="18" t="n">
        <v>46196</v>
      </c>
      <c r="C47" s="12" t="s">
        <v>49</v>
      </c>
      <c r="D47" s="12" t="s">
        <v>13</v>
      </c>
      <c r="E47" s="12" t="s">
        <v>30</v>
      </c>
      <c r="F47" s="12" t="s">
        <v>47</v>
      </c>
      <c r="G47" s="20" t="n">
        <f aca="false">IF(F47="Converted",1,0)</f>
        <v>1</v>
      </c>
    </row>
    <row r="48" customFormat="false" ht="15" hidden="false" customHeight="false" outlineLevel="0" collapsed="false">
      <c r="B48" s="18" t="n">
        <v>46143</v>
      </c>
      <c r="C48" s="12" t="s">
        <v>46</v>
      </c>
      <c r="D48" s="12" t="s">
        <v>16</v>
      </c>
      <c r="E48" s="12" t="s">
        <v>14</v>
      </c>
      <c r="F48" s="12" t="s">
        <v>51</v>
      </c>
      <c r="G48" s="20" t="n">
        <f aca="false">IF(F48="Converted",1,0)</f>
        <v>0</v>
      </c>
    </row>
    <row r="49" customFormat="false" ht="15" hidden="false" customHeight="false" outlineLevel="0" collapsed="false">
      <c r="B49" s="18" t="n">
        <v>46146</v>
      </c>
      <c r="C49" s="12" t="s">
        <v>53</v>
      </c>
      <c r="D49" s="12" t="s">
        <v>25</v>
      </c>
      <c r="E49" s="12" t="s">
        <v>17</v>
      </c>
      <c r="F49" s="12" t="s">
        <v>45</v>
      </c>
      <c r="G49" s="20" t="n">
        <f aca="false">IF(F49="Converted",1,0)</f>
        <v>0</v>
      </c>
    </row>
    <row r="50" customFormat="false" ht="15" hidden="false" customHeight="false" outlineLevel="0" collapsed="false">
      <c r="B50" s="18" t="n">
        <v>46214</v>
      </c>
      <c r="C50" s="12" t="s">
        <v>52</v>
      </c>
      <c r="D50" s="12" t="s">
        <v>16</v>
      </c>
      <c r="E50" s="12" t="s">
        <v>23</v>
      </c>
      <c r="F50" s="12" t="s">
        <v>45</v>
      </c>
      <c r="G50" s="20" t="n">
        <f aca="false">IF(F50="Converted",1,0)</f>
        <v>0</v>
      </c>
    </row>
    <row r="51" customFormat="false" ht="15" hidden="false" customHeight="false" outlineLevel="0" collapsed="false">
      <c r="B51" s="18" t="n">
        <v>46142</v>
      </c>
      <c r="C51" s="12" t="s">
        <v>49</v>
      </c>
      <c r="D51" s="12" t="s">
        <v>22</v>
      </c>
      <c r="E51" s="12" t="s">
        <v>28</v>
      </c>
      <c r="F51" s="12" t="s">
        <v>51</v>
      </c>
      <c r="G51" s="20" t="n">
        <f aca="false">IF(F51="Converted",1,0)</f>
        <v>0</v>
      </c>
    </row>
    <row r="52" customFormat="false" ht="15" hidden="false" customHeight="false" outlineLevel="0" collapsed="false">
      <c r="B52" s="18" t="n">
        <v>46192</v>
      </c>
      <c r="C52" s="12" t="s">
        <v>46</v>
      </c>
      <c r="D52" s="12" t="s">
        <v>25</v>
      </c>
      <c r="E52" s="12" t="s">
        <v>17</v>
      </c>
      <c r="F52" s="12" t="s">
        <v>45</v>
      </c>
      <c r="G52" s="20" t="n">
        <f aca="false">IF(F52="Converted",1,0)</f>
        <v>0</v>
      </c>
    </row>
    <row r="53" customFormat="false" ht="15" hidden="false" customHeight="false" outlineLevel="0" collapsed="false">
      <c r="B53" s="18" t="n">
        <v>46165</v>
      </c>
      <c r="C53" s="12" t="s">
        <v>53</v>
      </c>
      <c r="D53" s="12" t="s">
        <v>19</v>
      </c>
      <c r="E53" s="12" t="s">
        <v>23</v>
      </c>
      <c r="F53" s="12" t="s">
        <v>47</v>
      </c>
      <c r="G53" s="20" t="n">
        <f aca="false">IF(F53="Converted",1,0)</f>
        <v>1</v>
      </c>
    </row>
    <row r="54" customFormat="false" ht="15" hidden="false" customHeight="false" outlineLevel="0" collapsed="false">
      <c r="B54" s="18" t="n">
        <v>46215</v>
      </c>
      <c r="C54" s="12" t="s">
        <v>50</v>
      </c>
      <c r="D54" s="12" t="s">
        <v>16</v>
      </c>
      <c r="E54" s="12" t="s">
        <v>20</v>
      </c>
      <c r="F54" s="12" t="s">
        <v>45</v>
      </c>
      <c r="G54" s="20" t="n">
        <f aca="false">IF(F54="Converted",1,0)</f>
        <v>0</v>
      </c>
    </row>
    <row r="55" customFormat="false" ht="15" hidden="false" customHeight="false" outlineLevel="0" collapsed="false">
      <c r="B55" s="18" t="n">
        <v>46187</v>
      </c>
      <c r="C55" s="12" t="s">
        <v>49</v>
      </c>
      <c r="D55" s="12" t="s">
        <v>22</v>
      </c>
      <c r="E55" s="12" t="s">
        <v>20</v>
      </c>
      <c r="F55" s="12" t="s">
        <v>47</v>
      </c>
      <c r="G55" s="20" t="n">
        <f aca="false">IF(F55="Converted",1,0)</f>
        <v>1</v>
      </c>
    </row>
    <row r="56" customFormat="false" ht="15" hidden="false" customHeight="false" outlineLevel="0" collapsed="false">
      <c r="B56" s="18" t="n">
        <v>46200</v>
      </c>
      <c r="C56" s="12" t="s">
        <v>48</v>
      </c>
      <c r="D56" s="12" t="s">
        <v>22</v>
      </c>
      <c r="E56" s="12" t="s">
        <v>20</v>
      </c>
      <c r="F56" s="12" t="s">
        <v>45</v>
      </c>
      <c r="G56" s="20" t="n">
        <f aca="false">IF(F56="Converted",1,0)</f>
        <v>0</v>
      </c>
    </row>
    <row r="57" customFormat="false" ht="15" hidden="false" customHeight="false" outlineLevel="0" collapsed="false">
      <c r="B57" s="18" t="n">
        <v>46154</v>
      </c>
      <c r="C57" s="12" t="s">
        <v>50</v>
      </c>
      <c r="D57" s="12" t="s">
        <v>13</v>
      </c>
      <c r="E57" s="12" t="s">
        <v>14</v>
      </c>
      <c r="F57" s="12" t="s">
        <v>51</v>
      </c>
      <c r="G57" s="20" t="n">
        <f aca="false">IF(F57="Converted",1,0)</f>
        <v>0</v>
      </c>
    </row>
    <row r="58" customFormat="false" ht="15" hidden="false" customHeight="false" outlineLevel="0" collapsed="false">
      <c r="B58" s="18" t="n">
        <v>46214</v>
      </c>
      <c r="C58" s="12" t="s">
        <v>48</v>
      </c>
      <c r="D58" s="12" t="s">
        <v>22</v>
      </c>
      <c r="E58" s="12" t="s">
        <v>23</v>
      </c>
      <c r="F58" s="12" t="s">
        <v>47</v>
      </c>
      <c r="G58" s="20" t="n">
        <f aca="false">IF(F58="Converted",1,0)</f>
        <v>1</v>
      </c>
    </row>
    <row r="59" customFormat="false" ht="15" hidden="false" customHeight="false" outlineLevel="0" collapsed="false">
      <c r="B59" s="18" t="n">
        <v>46166</v>
      </c>
      <c r="C59" s="12" t="s">
        <v>50</v>
      </c>
      <c r="D59" s="12" t="s">
        <v>22</v>
      </c>
      <c r="E59" s="12" t="s">
        <v>30</v>
      </c>
      <c r="F59" s="12" t="s">
        <v>47</v>
      </c>
      <c r="G59" s="20" t="n">
        <f aca="false">IF(F59="Converted",1,0)</f>
        <v>1</v>
      </c>
    </row>
    <row r="60" customFormat="false" ht="15" hidden="false" customHeight="false" outlineLevel="0" collapsed="false">
      <c r="B60" s="18" t="n">
        <v>46194</v>
      </c>
      <c r="C60" s="12" t="s">
        <v>50</v>
      </c>
      <c r="D60" s="12" t="s">
        <v>13</v>
      </c>
      <c r="E60" s="12" t="s">
        <v>17</v>
      </c>
      <c r="F60" s="12" t="s">
        <v>51</v>
      </c>
      <c r="G60" s="20" t="n">
        <f aca="false">IF(F60="Converted",1,0)</f>
        <v>0</v>
      </c>
    </row>
    <row r="61" customFormat="false" ht="15" hidden="false" customHeight="false" outlineLevel="0" collapsed="false">
      <c r="B61" s="18" t="n">
        <v>46149</v>
      </c>
      <c r="C61" s="12" t="s">
        <v>53</v>
      </c>
      <c r="D61" s="12" t="s">
        <v>19</v>
      </c>
      <c r="E61" s="12" t="s">
        <v>31</v>
      </c>
      <c r="F61" s="12" t="s">
        <v>47</v>
      </c>
      <c r="G61" s="20" t="n">
        <f aca="false">IF(F61="Converted",1,0)</f>
        <v>1</v>
      </c>
    </row>
    <row r="62" customFormat="false" ht="15" hidden="false" customHeight="false" outlineLevel="0" collapsed="false">
      <c r="B62" s="18" t="n">
        <v>46141</v>
      </c>
      <c r="C62" s="12" t="s">
        <v>50</v>
      </c>
      <c r="D62" s="12" t="s">
        <v>16</v>
      </c>
      <c r="E62" s="12" t="s">
        <v>17</v>
      </c>
      <c r="F62" s="12" t="s">
        <v>47</v>
      </c>
      <c r="G62" s="20" t="n">
        <f aca="false">IF(F62="Converted",1,0)</f>
        <v>1</v>
      </c>
    </row>
  </sheetData>
  <autoFilter ref="B2:G62"/>
  <conditionalFormatting sqref="F3:F62">
    <cfRule type="cellIs" priority="2" operator="equal" aboveAverage="0" equalAverage="0" bottom="0" percent="0" rank="0" text="" dxfId="77">
      <formula>"Converted"</formula>
    </cfRule>
    <cfRule type="cellIs" priority="3" operator="equal" aboveAverage="0" equalAverage="0" bottom="0" percent="0" rank="0" text="" dxfId="78">
      <formula>"Declined"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7" min="3" style="0" width="16"/>
    <col collapsed="false" customWidth="true" hidden="false" outlineLevel="0" max="8" min="8" style="0" width="14"/>
  </cols>
  <sheetData>
    <row r="2" customFormat="false" ht="16.15" hidden="false" customHeight="false" outlineLevel="0" collapsed="false">
      <c r="B2" s="21" t="s">
        <v>54</v>
      </c>
    </row>
    <row r="3" customFormat="false" ht="15" hidden="false" customHeight="false" outlineLevel="0" collapsed="false">
      <c r="B3" s="17" t="s">
        <v>55</v>
      </c>
      <c r="C3" s="17" t="s">
        <v>56</v>
      </c>
      <c r="D3" s="17" t="s">
        <v>36</v>
      </c>
      <c r="E3" s="17" t="s">
        <v>57</v>
      </c>
      <c r="F3" s="17" t="s">
        <v>58</v>
      </c>
      <c r="G3" s="17" t="s">
        <v>59</v>
      </c>
      <c r="H3" s="17" t="s">
        <v>60</v>
      </c>
    </row>
    <row r="4" customFormat="false" ht="15" hidden="false" customHeight="false" outlineLevel="0" collapsed="false">
      <c r="B4" s="22" t="s">
        <v>15</v>
      </c>
      <c r="C4" s="23" t="n">
        <f aca="false">SUMPRODUCT((YEAR(Transactions!B3:B437)=2026)*(MONTH(Transactions!B3:B437)=2)*Transactions!D3:D437)</f>
        <v>0</v>
      </c>
      <c r="D4" s="24" t="n">
        <f aca="false">SUMPRODUCT((YEAR(Transactions!B3:B437)=2026)*(MONTH(Transactions!B3:B437)=2)*Transactions!E3:E437)</f>
        <v>0</v>
      </c>
      <c r="E4" s="23" t="n">
        <f aca="false">ROUND(SUMPRODUCT((YEAR(Transactions!B3:B437)=2026)*(MONTH(Transactions!B3:B437)=2)*Transactions!D3:D437)*0.012,0)</f>
        <v>0</v>
      </c>
      <c r="F4" s="23" t="n">
        <f aca="false">SUMPRODUCT((YEAR(Product_Referrals!B3:B62)=2026)*(MONTH(Product_Referrals!B3:B62)=2))</f>
        <v>0</v>
      </c>
      <c r="G4" s="23" t="n">
        <f aca="false">SUMPRODUCT((YEAR(Product_Referrals!B3:B62)=2026)*(MONTH(Product_Referrals!B3:B62)=2)*Product_Referrals!G3:G62)</f>
        <v>0</v>
      </c>
      <c r="H4" s="25" t="n">
        <f aca="false">IFERROR(G4/F4,0)</f>
        <v>0</v>
      </c>
    </row>
    <row r="5" customFormat="false" ht="15" hidden="false" customHeight="false" outlineLevel="0" collapsed="false">
      <c r="B5" s="22" t="s">
        <v>18</v>
      </c>
      <c r="C5" s="23" t="n">
        <f aca="false">SUMPRODUCT((YEAR(Transactions!B3:B437)=2026)*(MONTH(Transactions!B3:B437)=3)*Transactions!D3:D437)</f>
        <v>5521</v>
      </c>
      <c r="D5" s="24" t="n">
        <f aca="false">SUMPRODUCT((YEAR(Transactions!B3:B437)=2026)*(MONTH(Transactions!B3:B437)=3)*Transactions!E3:E437)</f>
        <v>6070926</v>
      </c>
      <c r="E5" s="23" t="n">
        <f aca="false">ROUND(SUMPRODUCT((YEAR(Transactions!B3:B437)=2026)*(MONTH(Transactions!B3:B437)=3)*Transactions!D3:D437)*0.012,0)</f>
        <v>66</v>
      </c>
      <c r="F5" s="23" t="n">
        <f aca="false">SUMPRODUCT((YEAR(Product_Referrals!B3:B62)=2026)*(MONTH(Product_Referrals!B3:B62)=3))</f>
        <v>0</v>
      </c>
      <c r="G5" s="23" t="n">
        <f aca="false">SUMPRODUCT((YEAR(Product_Referrals!B3:B62)=2026)*(MONTH(Product_Referrals!B3:B62)=3)*Product_Referrals!G3:G62)</f>
        <v>0</v>
      </c>
      <c r="H5" s="25" t="n">
        <f aca="false">IFERROR(G5/F5,0)</f>
        <v>0</v>
      </c>
    </row>
    <row r="6" customFormat="false" ht="15" hidden="false" customHeight="false" outlineLevel="0" collapsed="false">
      <c r="B6" s="22" t="s">
        <v>21</v>
      </c>
      <c r="C6" s="23" t="n">
        <f aca="false">SUMPRODUCT((YEAR(Transactions!B3:B437)=2026)*(MONTH(Transactions!B3:B437)=4)*Transactions!D3:D437)</f>
        <v>16654</v>
      </c>
      <c r="D6" s="24" t="n">
        <f aca="false">SUMPRODUCT((YEAR(Transactions!B3:B437)=2026)*(MONTH(Transactions!B3:B437)=4)*Transactions!E3:E437)</f>
        <v>17891585</v>
      </c>
      <c r="E6" s="23" t="n">
        <f aca="false">ROUND(SUMPRODUCT((YEAR(Transactions!B3:B437)=2026)*(MONTH(Transactions!B3:B437)=4)*Transactions!D3:D437)*0.012,0)</f>
        <v>200</v>
      </c>
      <c r="F6" s="23" t="n">
        <f aca="false">SUMPRODUCT((YEAR(Product_Referrals!B3:B62)=2026)*(MONTH(Product_Referrals!B3:B62)=4))</f>
        <v>5</v>
      </c>
      <c r="G6" s="23" t="n">
        <f aca="false">SUMPRODUCT((YEAR(Product_Referrals!B3:B62)=2026)*(MONTH(Product_Referrals!B3:B62)=4)*Product_Referrals!G3:G62)</f>
        <v>1</v>
      </c>
      <c r="H6" s="25" t="n">
        <f aca="false">IFERROR(G6/F6,0)</f>
        <v>0.2</v>
      </c>
    </row>
    <row r="7" customFormat="false" ht="15" hidden="false" customHeight="false" outlineLevel="0" collapsed="false">
      <c r="B7" s="22" t="s">
        <v>24</v>
      </c>
      <c r="C7" s="23" t="n">
        <f aca="false">SUMPRODUCT((YEAR(Transactions!B3:B437)=2026)*(MONTH(Transactions!B3:B437)=5)*Transactions!D3:D437)</f>
        <v>16327</v>
      </c>
      <c r="D7" s="24" t="n">
        <f aca="false">SUMPRODUCT((YEAR(Transactions!B3:B437)=2026)*(MONTH(Transactions!B3:B437)=5)*Transactions!E3:E437)</f>
        <v>16979596</v>
      </c>
      <c r="E7" s="23" t="n">
        <f aca="false">ROUND(SUMPRODUCT((YEAR(Transactions!B3:B437)=2026)*(MONTH(Transactions!B3:B437)=5)*Transactions!D3:D437)*0.012,0)</f>
        <v>196</v>
      </c>
      <c r="F7" s="23" t="n">
        <f aca="false">SUMPRODUCT((YEAR(Product_Referrals!B3:B62)=2026)*(MONTH(Product_Referrals!B3:B62)=5))</f>
        <v>25</v>
      </c>
      <c r="G7" s="23" t="n">
        <f aca="false">SUMPRODUCT((YEAR(Product_Referrals!B3:B62)=2026)*(MONTH(Product_Referrals!B3:B62)=5)*Product_Referrals!G3:G62)</f>
        <v>4</v>
      </c>
      <c r="H7" s="25" t="n">
        <f aca="false">IFERROR(G7/F7,0)</f>
        <v>0.16</v>
      </c>
    </row>
    <row r="8" customFormat="false" ht="15" hidden="false" customHeight="false" outlineLevel="0" collapsed="false">
      <c r="B8" s="22" t="s">
        <v>27</v>
      </c>
      <c r="C8" s="23" t="n">
        <f aca="false">SUMPRODUCT((YEAR(Transactions!B3:B437)=2026)*(MONTH(Transactions!B3:B437)=6)*Transactions!D3:D437)</f>
        <v>16885</v>
      </c>
      <c r="D8" s="24" t="n">
        <f aca="false">SUMPRODUCT((YEAR(Transactions!B3:B437)=2026)*(MONTH(Transactions!B3:B437)=6)*Transactions!E3:E437)</f>
        <v>18904785</v>
      </c>
      <c r="E8" s="23" t="n">
        <f aca="false">ROUND(SUMPRODUCT((YEAR(Transactions!B3:B437)=2026)*(MONTH(Transactions!B3:B437)=6)*Transactions!D3:D437)*0.012,0)</f>
        <v>203</v>
      </c>
      <c r="F8" s="23" t="n">
        <f aca="false">SUMPRODUCT((YEAR(Product_Referrals!B3:B62)=2026)*(MONTH(Product_Referrals!B3:B62)=6))</f>
        <v>17</v>
      </c>
      <c r="G8" s="23" t="n">
        <f aca="false">SUMPRODUCT((YEAR(Product_Referrals!B3:B62)=2026)*(MONTH(Product_Referrals!B3:B62)=6)*Product_Referrals!G3:G62)</f>
        <v>5</v>
      </c>
      <c r="H8" s="25" t="n">
        <f aca="false">IFERROR(G8/F8,0)</f>
        <v>0.294117647058824</v>
      </c>
    </row>
    <row r="9" customFormat="false" ht="15" hidden="false" customHeight="false" outlineLevel="0" collapsed="false">
      <c r="B9" s="22" t="s">
        <v>29</v>
      </c>
      <c r="C9" s="23" t="n">
        <f aca="false">SUMPRODUCT((YEAR(Transactions!B3:B437)=2026)*(MONTH(Transactions!B3:B437)=7)*Transactions!D3:D437)</f>
        <v>11654</v>
      </c>
      <c r="D9" s="24" t="n">
        <f aca="false">SUMPRODUCT((YEAR(Transactions!B3:B437)=2026)*(MONTH(Transactions!B3:B437)=7)*Transactions!E3:E437)</f>
        <v>13007453</v>
      </c>
      <c r="E9" s="23" t="n">
        <f aca="false">ROUND(SUMPRODUCT((YEAR(Transactions!B3:B437)=2026)*(MONTH(Transactions!B3:B437)=7)*Transactions!D3:D437)*0.012,0)</f>
        <v>140</v>
      </c>
      <c r="F9" s="23" t="n">
        <f aca="false">SUMPRODUCT((YEAR(Product_Referrals!B3:B62)=2026)*(MONTH(Product_Referrals!B3:B62)=7))</f>
        <v>13</v>
      </c>
      <c r="G9" s="23" t="n">
        <f aca="false">SUMPRODUCT((YEAR(Product_Referrals!B3:B62)=2026)*(MONTH(Product_Referrals!B3:B62)=7)*Product_Referrals!G3:G62)</f>
        <v>4</v>
      </c>
      <c r="H9" s="25" t="n">
        <f aca="false">IFERROR(G9/F9,0)</f>
        <v>0.307692307692308</v>
      </c>
    </row>
  </sheetData>
  <conditionalFormatting sqref="H4:H9">
    <cfRule type="dataBar" priority="2">
      <dataBar showValue="1" minLength="10" maxLength="90">
        <cfvo type="min" val="0"/>
        <cfvo type="max" val="0"/>
        <color rgb="FF2F6B7A"/>
      </dataBar>
      <extLst>
        <ext xmlns:x14="http://schemas.microsoft.com/office/spreadsheetml/2009/9/main" uri="{B025F937-C7B1-47D3-B67F-A62EFF666E3E}">
          <x14:id>{C233AF40-5C15-46C8-8B25-5A58C77329F2}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33AF40-5C15-46C8-8B25-5A58C77329F2}">
            <x14:dataBar minLength="10" maxLength="90" axisPosition="none" gradient="true">
              <x14:cfvo type="min"/>
              <x14:cfvo type="max"/>
              <x14:negativeFillColor rgb="FF2F6B7A"/>
              <x14:axisColor rgb="FF000000"/>
            </x14:dataBar>
          </x14:cfRule>
          <xm:sqref>H4:H9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2"/>
  </cols>
  <sheetData>
    <row r="2" customFormat="false" ht="15" hidden="false" customHeight="false" outlineLevel="0" collapsed="false">
      <c r="B2" s="17" t="s">
        <v>33</v>
      </c>
      <c r="C2" s="17" t="s">
        <v>34</v>
      </c>
      <c r="D2" s="17" t="s">
        <v>61</v>
      </c>
      <c r="E2" s="17" t="s">
        <v>62</v>
      </c>
    </row>
    <row r="3" customFormat="false" ht="15" hidden="false" customHeight="false" outlineLevel="0" collapsed="false">
      <c r="B3" s="18" t="n">
        <v>46169</v>
      </c>
      <c r="C3" s="12" t="s">
        <v>19</v>
      </c>
      <c r="D3" s="12" t="n">
        <v>4</v>
      </c>
      <c r="E3" s="12" t="s">
        <v>63</v>
      </c>
    </row>
    <row r="4" customFormat="false" ht="15" hidden="false" customHeight="false" outlineLevel="0" collapsed="false">
      <c r="B4" s="18" t="n">
        <v>46135</v>
      </c>
      <c r="C4" s="12" t="s">
        <v>25</v>
      </c>
      <c r="D4" s="12" t="n">
        <v>4</v>
      </c>
      <c r="E4" s="12" t="s">
        <v>64</v>
      </c>
    </row>
    <row r="5" customFormat="false" ht="15" hidden="false" customHeight="false" outlineLevel="0" collapsed="false">
      <c r="B5" s="18" t="n">
        <v>46177</v>
      </c>
      <c r="C5" s="12" t="s">
        <v>22</v>
      </c>
      <c r="D5" s="12" t="n">
        <v>3</v>
      </c>
      <c r="E5" s="12" t="s">
        <v>63</v>
      </c>
    </row>
    <row r="6" customFormat="false" ht="15" hidden="false" customHeight="false" outlineLevel="0" collapsed="false">
      <c r="B6" s="18" t="n">
        <v>46217</v>
      </c>
      <c r="C6" s="12" t="s">
        <v>16</v>
      </c>
      <c r="D6" s="12" t="n">
        <v>5</v>
      </c>
      <c r="E6" s="12" t="s">
        <v>65</v>
      </c>
    </row>
    <row r="7" customFormat="false" ht="15" hidden="false" customHeight="false" outlineLevel="0" collapsed="false">
      <c r="B7" s="18" t="n">
        <v>46134</v>
      </c>
      <c r="C7" s="12" t="s">
        <v>13</v>
      </c>
      <c r="D7" s="12" t="n">
        <v>5</v>
      </c>
      <c r="E7" s="12" t="s">
        <v>66</v>
      </c>
    </row>
    <row r="8" customFormat="false" ht="15" hidden="false" customHeight="false" outlineLevel="0" collapsed="false">
      <c r="B8" s="18" t="n">
        <v>46176</v>
      </c>
      <c r="C8" s="12" t="s">
        <v>25</v>
      </c>
      <c r="D8" s="12" t="n">
        <v>4</v>
      </c>
      <c r="E8" s="12" t="s">
        <v>64</v>
      </c>
    </row>
    <row r="9" customFormat="false" ht="15" hidden="false" customHeight="false" outlineLevel="0" collapsed="false">
      <c r="B9" s="18" t="n">
        <v>46177</v>
      </c>
      <c r="C9" s="12" t="s">
        <v>25</v>
      </c>
      <c r="D9" s="12" t="n">
        <v>4</v>
      </c>
      <c r="E9" s="12" t="s">
        <v>65</v>
      </c>
    </row>
    <row r="10" customFormat="false" ht="15" hidden="false" customHeight="false" outlineLevel="0" collapsed="false">
      <c r="B10" s="18" t="n">
        <v>46154</v>
      </c>
      <c r="C10" s="12" t="s">
        <v>25</v>
      </c>
      <c r="D10" s="12" t="n">
        <v>5</v>
      </c>
      <c r="E10" s="12" t="s">
        <v>65</v>
      </c>
    </row>
    <row r="11" customFormat="false" ht="15" hidden="false" customHeight="false" outlineLevel="0" collapsed="false">
      <c r="B11" s="18" t="n">
        <v>46168</v>
      </c>
      <c r="C11" s="12" t="s">
        <v>13</v>
      </c>
      <c r="D11" s="12" t="n">
        <v>5</v>
      </c>
      <c r="E11" s="12" t="s">
        <v>67</v>
      </c>
    </row>
    <row r="12" customFormat="false" ht="15" hidden="false" customHeight="false" outlineLevel="0" collapsed="false">
      <c r="B12" s="18" t="n">
        <v>46214</v>
      </c>
      <c r="C12" s="12" t="s">
        <v>22</v>
      </c>
      <c r="D12" s="12" t="n">
        <v>4</v>
      </c>
      <c r="E12" s="12" t="s">
        <v>66</v>
      </c>
    </row>
    <row r="13" customFormat="false" ht="15" hidden="false" customHeight="false" outlineLevel="0" collapsed="false">
      <c r="B13" s="18" t="n">
        <v>46193</v>
      </c>
      <c r="C13" s="12" t="s">
        <v>19</v>
      </c>
      <c r="D13" s="12" t="n">
        <v>3</v>
      </c>
      <c r="E13" s="12" t="s">
        <v>64</v>
      </c>
    </row>
    <row r="14" customFormat="false" ht="15" hidden="false" customHeight="false" outlineLevel="0" collapsed="false">
      <c r="B14" s="18" t="n">
        <v>46202</v>
      </c>
      <c r="C14" s="12" t="s">
        <v>22</v>
      </c>
      <c r="D14" s="12" t="n">
        <v>5</v>
      </c>
      <c r="E14" s="12" t="s">
        <v>67</v>
      </c>
    </row>
    <row r="15" customFormat="false" ht="15" hidden="false" customHeight="false" outlineLevel="0" collapsed="false">
      <c r="B15" s="18" t="n">
        <v>46201</v>
      </c>
      <c r="C15" s="12" t="s">
        <v>22</v>
      </c>
      <c r="D15" s="12" t="n">
        <v>4</v>
      </c>
      <c r="E15" s="12" t="s">
        <v>67</v>
      </c>
    </row>
    <row r="16" customFormat="false" ht="15" hidden="false" customHeight="false" outlineLevel="0" collapsed="false">
      <c r="B16" s="18" t="n">
        <v>46181</v>
      </c>
      <c r="C16" s="12" t="s">
        <v>13</v>
      </c>
      <c r="D16" s="12" t="n">
        <v>3</v>
      </c>
      <c r="E16" s="12" t="s">
        <v>65</v>
      </c>
    </row>
    <row r="17" customFormat="false" ht="15" hidden="false" customHeight="false" outlineLevel="0" collapsed="false">
      <c r="B17" s="18" t="n">
        <v>46215</v>
      </c>
      <c r="C17" s="12" t="s">
        <v>22</v>
      </c>
      <c r="D17" s="12" t="n">
        <v>4</v>
      </c>
      <c r="E17" s="12" t="s">
        <v>65</v>
      </c>
    </row>
    <row r="18" customFormat="false" ht="15" hidden="false" customHeight="false" outlineLevel="0" collapsed="false">
      <c r="B18" s="18" t="n">
        <v>46174</v>
      </c>
      <c r="C18" s="12" t="s">
        <v>16</v>
      </c>
      <c r="D18" s="12" t="n">
        <v>3</v>
      </c>
      <c r="E18" s="12" t="s">
        <v>67</v>
      </c>
    </row>
    <row r="19" customFormat="false" ht="15" hidden="false" customHeight="false" outlineLevel="0" collapsed="false">
      <c r="B19" s="18" t="n">
        <v>46165</v>
      </c>
      <c r="C19" s="12" t="s">
        <v>22</v>
      </c>
      <c r="D19" s="12" t="n">
        <v>3</v>
      </c>
      <c r="E19" s="12" t="s">
        <v>64</v>
      </c>
    </row>
    <row r="20" customFormat="false" ht="15" hidden="false" customHeight="false" outlineLevel="0" collapsed="false">
      <c r="B20" s="18" t="n">
        <v>46197</v>
      </c>
      <c r="C20" s="12" t="s">
        <v>16</v>
      </c>
      <c r="D20" s="12" t="n">
        <v>1</v>
      </c>
      <c r="E20" s="12" t="s">
        <v>66</v>
      </c>
    </row>
    <row r="21" customFormat="false" ht="15" hidden="false" customHeight="false" outlineLevel="0" collapsed="false">
      <c r="B21" s="18" t="n">
        <v>46178</v>
      </c>
      <c r="C21" s="12" t="s">
        <v>13</v>
      </c>
      <c r="D21" s="12" t="n">
        <v>5</v>
      </c>
      <c r="E21" s="12" t="s">
        <v>67</v>
      </c>
    </row>
    <row r="22" customFormat="false" ht="15" hidden="false" customHeight="false" outlineLevel="0" collapsed="false">
      <c r="B22" s="18" t="n">
        <v>46179</v>
      </c>
      <c r="C22" s="12" t="s">
        <v>19</v>
      </c>
      <c r="D22" s="12" t="n">
        <v>4</v>
      </c>
      <c r="E22" s="12" t="s">
        <v>67</v>
      </c>
    </row>
    <row r="23" customFormat="false" ht="15" hidden="false" customHeight="false" outlineLevel="0" collapsed="false">
      <c r="B23" s="18" t="n">
        <v>46140</v>
      </c>
      <c r="C23" s="12" t="s">
        <v>22</v>
      </c>
      <c r="D23" s="12" t="n">
        <v>4</v>
      </c>
      <c r="E23" s="12" t="s">
        <v>64</v>
      </c>
    </row>
    <row r="24" customFormat="false" ht="15" hidden="false" customHeight="false" outlineLevel="0" collapsed="false">
      <c r="B24" s="18" t="n">
        <v>46169</v>
      </c>
      <c r="C24" s="12" t="s">
        <v>16</v>
      </c>
      <c r="D24" s="12" t="n">
        <v>4</v>
      </c>
      <c r="E24" s="12" t="s">
        <v>66</v>
      </c>
    </row>
    <row r="25" customFormat="false" ht="15" hidden="false" customHeight="false" outlineLevel="0" collapsed="false">
      <c r="B25" s="18" t="n">
        <v>46160</v>
      </c>
      <c r="C25" s="12" t="s">
        <v>25</v>
      </c>
      <c r="D25" s="12" t="n">
        <v>5</v>
      </c>
      <c r="E25" s="12" t="s">
        <v>67</v>
      </c>
    </row>
    <row r="26" customFormat="false" ht="15" hidden="false" customHeight="false" outlineLevel="0" collapsed="false">
      <c r="B26" s="18" t="n">
        <v>46184</v>
      </c>
      <c r="C26" s="12" t="s">
        <v>25</v>
      </c>
      <c r="D26" s="12" t="n">
        <v>5</v>
      </c>
      <c r="E26" s="12" t="s">
        <v>65</v>
      </c>
    </row>
    <row r="27" customFormat="false" ht="15" hidden="false" customHeight="false" outlineLevel="0" collapsed="false">
      <c r="B27" s="18" t="n">
        <v>46207</v>
      </c>
      <c r="C27" s="12" t="s">
        <v>22</v>
      </c>
      <c r="D27" s="12" t="n">
        <v>4</v>
      </c>
      <c r="E27" s="12" t="s">
        <v>66</v>
      </c>
    </row>
    <row r="28" customFormat="false" ht="15" hidden="false" customHeight="false" outlineLevel="0" collapsed="false">
      <c r="B28" s="18" t="n">
        <v>46152</v>
      </c>
      <c r="C28" s="12" t="s">
        <v>19</v>
      </c>
      <c r="D28" s="12" t="n">
        <v>2</v>
      </c>
      <c r="E28" s="12" t="s">
        <v>63</v>
      </c>
    </row>
    <row r="29" customFormat="false" ht="15" hidden="false" customHeight="false" outlineLevel="0" collapsed="false">
      <c r="B29" s="18" t="n">
        <v>46175</v>
      </c>
      <c r="C29" s="12" t="s">
        <v>13</v>
      </c>
      <c r="D29" s="12" t="n">
        <v>3</v>
      </c>
      <c r="E29" s="12" t="s">
        <v>65</v>
      </c>
    </row>
    <row r="30" customFormat="false" ht="15" hidden="false" customHeight="false" outlineLevel="0" collapsed="false">
      <c r="B30" s="18" t="n">
        <v>46143</v>
      </c>
      <c r="C30" s="12" t="s">
        <v>25</v>
      </c>
      <c r="D30" s="12" t="n">
        <v>4</v>
      </c>
      <c r="E30" s="12" t="s">
        <v>63</v>
      </c>
    </row>
    <row r="31" customFormat="false" ht="15" hidden="false" customHeight="false" outlineLevel="0" collapsed="false">
      <c r="B31" s="18" t="n">
        <v>46137</v>
      </c>
      <c r="C31" s="12" t="s">
        <v>13</v>
      </c>
      <c r="D31" s="12" t="n">
        <v>5</v>
      </c>
      <c r="E31" s="12" t="s">
        <v>63</v>
      </c>
    </row>
    <row r="32" customFormat="false" ht="15" hidden="false" customHeight="false" outlineLevel="0" collapsed="false">
      <c r="B32" s="18" t="n">
        <v>46164</v>
      </c>
      <c r="C32" s="12" t="s">
        <v>25</v>
      </c>
      <c r="D32" s="12" t="n">
        <v>5</v>
      </c>
      <c r="E32" s="12" t="s">
        <v>63</v>
      </c>
    </row>
    <row r="33" customFormat="false" ht="15" hidden="false" customHeight="false" outlineLevel="0" collapsed="false">
      <c r="B33" s="18" t="n">
        <v>46166</v>
      </c>
      <c r="C33" s="12" t="s">
        <v>19</v>
      </c>
      <c r="D33" s="12" t="n">
        <v>2</v>
      </c>
      <c r="E33" s="12" t="s">
        <v>63</v>
      </c>
    </row>
    <row r="34" customFormat="false" ht="15" hidden="false" customHeight="false" outlineLevel="0" collapsed="false">
      <c r="B34" s="18" t="n">
        <v>46135</v>
      </c>
      <c r="C34" s="12" t="s">
        <v>25</v>
      </c>
      <c r="D34" s="12" t="n">
        <v>5</v>
      </c>
      <c r="E34" s="12" t="s">
        <v>64</v>
      </c>
    </row>
    <row r="35" customFormat="false" ht="15" hidden="false" customHeight="false" outlineLevel="0" collapsed="false">
      <c r="B35" s="18" t="n">
        <v>46182</v>
      </c>
      <c r="C35" s="12" t="s">
        <v>16</v>
      </c>
      <c r="D35" s="12" t="n">
        <v>4</v>
      </c>
      <c r="E35" s="12" t="s">
        <v>67</v>
      </c>
    </row>
    <row r="36" customFormat="false" ht="15" hidden="false" customHeight="false" outlineLevel="0" collapsed="false">
      <c r="B36" s="18" t="n">
        <v>46189</v>
      </c>
      <c r="C36" s="12" t="s">
        <v>22</v>
      </c>
      <c r="D36" s="12" t="n">
        <v>5</v>
      </c>
      <c r="E36" s="12" t="s">
        <v>66</v>
      </c>
    </row>
    <row r="37" customFormat="false" ht="15" hidden="false" customHeight="false" outlineLevel="0" collapsed="false">
      <c r="B37" s="18" t="n">
        <v>46221</v>
      </c>
      <c r="C37" s="12" t="s">
        <v>19</v>
      </c>
      <c r="D37" s="12" t="n">
        <v>3</v>
      </c>
      <c r="E37" s="12" t="s">
        <v>66</v>
      </c>
    </row>
    <row r="38" customFormat="false" ht="15" hidden="false" customHeight="false" outlineLevel="0" collapsed="false">
      <c r="B38" s="18" t="n">
        <v>46155</v>
      </c>
      <c r="C38" s="12" t="s">
        <v>19</v>
      </c>
      <c r="D38" s="12" t="n">
        <v>5</v>
      </c>
      <c r="E38" s="12" t="s">
        <v>67</v>
      </c>
    </row>
    <row r="39" customFormat="false" ht="15" hidden="false" customHeight="false" outlineLevel="0" collapsed="false">
      <c r="B39" s="18" t="n">
        <v>46152</v>
      </c>
      <c r="C39" s="12" t="s">
        <v>13</v>
      </c>
      <c r="D39" s="12" t="n">
        <v>5</v>
      </c>
      <c r="E39" s="12" t="s">
        <v>65</v>
      </c>
    </row>
    <row r="40" customFormat="false" ht="15" hidden="false" customHeight="false" outlineLevel="0" collapsed="false">
      <c r="B40" s="18" t="n">
        <v>46221</v>
      </c>
      <c r="C40" s="12" t="s">
        <v>25</v>
      </c>
      <c r="D40" s="12" t="n">
        <v>1</v>
      </c>
      <c r="E40" s="12" t="s">
        <v>65</v>
      </c>
    </row>
    <row r="41" customFormat="false" ht="15" hidden="false" customHeight="false" outlineLevel="0" collapsed="false">
      <c r="B41" s="18" t="n">
        <v>46224</v>
      </c>
      <c r="C41" s="12" t="s">
        <v>13</v>
      </c>
      <c r="D41" s="12" t="n">
        <v>5</v>
      </c>
      <c r="E41" s="12" t="s">
        <v>66</v>
      </c>
    </row>
    <row r="42" customFormat="false" ht="15" hidden="false" customHeight="false" outlineLevel="0" collapsed="false">
      <c r="B42" s="18" t="n">
        <v>46155</v>
      </c>
      <c r="C42" s="12" t="s">
        <v>13</v>
      </c>
      <c r="D42" s="12" t="n">
        <v>3</v>
      </c>
      <c r="E42" s="12" t="s">
        <v>64</v>
      </c>
    </row>
    <row r="43" customFormat="false" ht="15" hidden="false" customHeight="false" outlineLevel="0" collapsed="false">
      <c r="B43" s="18" t="n">
        <v>46151</v>
      </c>
      <c r="C43" s="12" t="s">
        <v>22</v>
      </c>
      <c r="D43" s="12" t="n">
        <v>3</v>
      </c>
      <c r="E43" s="12" t="s">
        <v>66</v>
      </c>
    </row>
    <row r="44" customFormat="false" ht="15" hidden="false" customHeight="false" outlineLevel="0" collapsed="false">
      <c r="B44" s="18" t="n">
        <v>46175</v>
      </c>
      <c r="C44" s="12" t="s">
        <v>13</v>
      </c>
      <c r="D44" s="12" t="n">
        <v>4</v>
      </c>
      <c r="E44" s="12" t="s">
        <v>66</v>
      </c>
    </row>
    <row r="45" customFormat="false" ht="15" hidden="false" customHeight="false" outlineLevel="0" collapsed="false">
      <c r="B45" s="18" t="n">
        <v>46149</v>
      </c>
      <c r="C45" s="12" t="s">
        <v>22</v>
      </c>
      <c r="D45" s="12" t="n">
        <v>4</v>
      </c>
      <c r="E45" s="12" t="s">
        <v>65</v>
      </c>
    </row>
    <row r="46" customFormat="false" ht="15" hidden="false" customHeight="false" outlineLevel="0" collapsed="false">
      <c r="B46" s="18" t="n">
        <v>46222</v>
      </c>
      <c r="C46" s="12" t="s">
        <v>19</v>
      </c>
      <c r="D46" s="12" t="n">
        <v>5</v>
      </c>
      <c r="E46" s="12" t="s">
        <v>64</v>
      </c>
    </row>
    <row r="47" customFormat="false" ht="15" hidden="false" customHeight="false" outlineLevel="0" collapsed="false">
      <c r="B47" s="18" t="n">
        <v>46193</v>
      </c>
      <c r="C47" s="12" t="s">
        <v>16</v>
      </c>
      <c r="D47" s="12" t="n">
        <v>5</v>
      </c>
      <c r="E47" s="12" t="s">
        <v>66</v>
      </c>
    </row>
    <row r="48" customFormat="false" ht="15" hidden="false" customHeight="false" outlineLevel="0" collapsed="false">
      <c r="B48" s="18" t="n">
        <v>46195</v>
      </c>
      <c r="C48" s="12" t="s">
        <v>25</v>
      </c>
      <c r="D48" s="12" t="n">
        <v>5</v>
      </c>
      <c r="E48" s="12" t="s">
        <v>65</v>
      </c>
    </row>
    <row r="49" customFormat="false" ht="15" hidden="false" customHeight="false" outlineLevel="0" collapsed="false">
      <c r="B49" s="18" t="n">
        <v>46205</v>
      </c>
      <c r="C49" s="12" t="s">
        <v>13</v>
      </c>
      <c r="D49" s="12" t="n">
        <v>2</v>
      </c>
      <c r="E49" s="12" t="s">
        <v>67</v>
      </c>
    </row>
    <row r="50" customFormat="false" ht="15" hidden="false" customHeight="false" outlineLevel="0" collapsed="false">
      <c r="B50" s="18" t="n">
        <v>46205</v>
      </c>
      <c r="C50" s="12" t="s">
        <v>16</v>
      </c>
      <c r="D50" s="12" t="n">
        <v>4</v>
      </c>
      <c r="E50" s="12" t="s">
        <v>67</v>
      </c>
    </row>
    <row r="51" customFormat="false" ht="15" hidden="false" customHeight="false" outlineLevel="0" collapsed="false">
      <c r="B51" s="18" t="n">
        <v>46195</v>
      </c>
      <c r="C51" s="12" t="s">
        <v>16</v>
      </c>
      <c r="D51" s="12" t="n">
        <v>1</v>
      </c>
      <c r="E51" s="12" t="s">
        <v>65</v>
      </c>
    </row>
    <row r="52" customFormat="false" ht="15" hidden="false" customHeight="false" outlineLevel="0" collapsed="false">
      <c r="B52" s="18" t="n">
        <v>46193</v>
      </c>
      <c r="C52" s="12" t="s">
        <v>19</v>
      </c>
      <c r="D52" s="12" t="n">
        <v>3</v>
      </c>
      <c r="E52" s="12" t="s">
        <v>65</v>
      </c>
    </row>
    <row r="53" customFormat="false" ht="15" hidden="false" customHeight="false" outlineLevel="0" collapsed="false">
      <c r="B53" s="18" t="n">
        <v>46143</v>
      </c>
      <c r="C53" s="12" t="s">
        <v>19</v>
      </c>
      <c r="D53" s="12" t="n">
        <v>4</v>
      </c>
      <c r="E53" s="12" t="s">
        <v>66</v>
      </c>
    </row>
    <row r="54" customFormat="false" ht="15" hidden="false" customHeight="false" outlineLevel="0" collapsed="false">
      <c r="B54" s="18" t="n">
        <v>46208</v>
      </c>
      <c r="C54" s="12" t="s">
        <v>13</v>
      </c>
      <c r="D54" s="12" t="n">
        <v>3</v>
      </c>
      <c r="E54" s="12" t="s">
        <v>64</v>
      </c>
    </row>
    <row r="55" customFormat="false" ht="15" hidden="false" customHeight="false" outlineLevel="0" collapsed="false">
      <c r="B55" s="18" t="n">
        <v>46211</v>
      </c>
      <c r="C55" s="12" t="s">
        <v>19</v>
      </c>
      <c r="D55" s="12" t="n">
        <v>4</v>
      </c>
      <c r="E55" s="12" t="s">
        <v>65</v>
      </c>
    </row>
    <row r="56" customFormat="false" ht="15" hidden="false" customHeight="false" outlineLevel="0" collapsed="false">
      <c r="B56" s="18" t="n">
        <v>46150</v>
      </c>
      <c r="C56" s="12" t="s">
        <v>25</v>
      </c>
      <c r="D56" s="12" t="n">
        <v>3</v>
      </c>
      <c r="E56" s="12" t="s">
        <v>63</v>
      </c>
    </row>
    <row r="57" customFormat="false" ht="15" hidden="false" customHeight="false" outlineLevel="0" collapsed="false">
      <c r="B57" s="18" t="n">
        <v>46185</v>
      </c>
      <c r="C57" s="12" t="s">
        <v>19</v>
      </c>
      <c r="D57" s="12" t="n">
        <v>5</v>
      </c>
      <c r="E57" s="12" t="s">
        <v>67</v>
      </c>
    </row>
    <row r="58" customFormat="false" ht="15" hidden="false" customHeight="false" outlineLevel="0" collapsed="false">
      <c r="B58" s="18" t="n">
        <v>46189</v>
      </c>
      <c r="C58" s="12" t="s">
        <v>16</v>
      </c>
      <c r="D58" s="12" t="n">
        <v>4</v>
      </c>
      <c r="E58" s="12" t="s">
        <v>65</v>
      </c>
    </row>
    <row r="59" customFormat="false" ht="15" hidden="false" customHeight="false" outlineLevel="0" collapsed="false">
      <c r="B59" s="18" t="n">
        <v>46210</v>
      </c>
      <c r="C59" s="12" t="s">
        <v>19</v>
      </c>
      <c r="D59" s="12" t="n">
        <v>3</v>
      </c>
      <c r="E59" s="12" t="s">
        <v>64</v>
      </c>
    </row>
    <row r="60" customFormat="false" ht="15" hidden="false" customHeight="false" outlineLevel="0" collapsed="false">
      <c r="B60" s="18" t="n">
        <v>46147</v>
      </c>
      <c r="C60" s="12" t="s">
        <v>22</v>
      </c>
      <c r="D60" s="12" t="n">
        <v>4</v>
      </c>
      <c r="E60" s="12" t="s">
        <v>64</v>
      </c>
    </row>
    <row r="61" customFormat="false" ht="15" hidden="false" customHeight="false" outlineLevel="0" collapsed="false">
      <c r="B61" s="18" t="n">
        <v>46201</v>
      </c>
      <c r="C61" s="12" t="s">
        <v>13</v>
      </c>
      <c r="D61" s="12" t="n">
        <v>3</v>
      </c>
      <c r="E61" s="12" t="s">
        <v>65</v>
      </c>
    </row>
    <row r="62" customFormat="false" ht="15" hidden="false" customHeight="false" outlineLevel="0" collapsed="false">
      <c r="B62" s="18" t="n">
        <v>46203</v>
      </c>
      <c r="C62" s="12" t="s">
        <v>13</v>
      </c>
      <c r="D62" s="12" t="n">
        <v>4</v>
      </c>
      <c r="E62" s="12" t="s">
        <v>67</v>
      </c>
    </row>
    <row r="63" customFormat="false" ht="15" hidden="false" customHeight="false" outlineLevel="0" collapsed="false">
      <c r="B63" s="18" t="n">
        <v>46142</v>
      </c>
      <c r="C63" s="12" t="s">
        <v>25</v>
      </c>
      <c r="D63" s="12" t="n">
        <v>5</v>
      </c>
      <c r="E63" s="12" t="s">
        <v>65</v>
      </c>
    </row>
    <row r="64" customFormat="false" ht="15" hidden="false" customHeight="false" outlineLevel="0" collapsed="false">
      <c r="B64" s="18" t="n">
        <v>46157</v>
      </c>
      <c r="C64" s="12" t="s">
        <v>13</v>
      </c>
      <c r="D64" s="12" t="n">
        <v>5</v>
      </c>
      <c r="E64" s="12" t="s">
        <v>67</v>
      </c>
    </row>
    <row r="65" customFormat="false" ht="15" hidden="false" customHeight="false" outlineLevel="0" collapsed="false">
      <c r="B65" s="18" t="n">
        <v>46206</v>
      </c>
      <c r="C65" s="12" t="s">
        <v>19</v>
      </c>
      <c r="D65" s="12" t="n">
        <v>3</v>
      </c>
      <c r="E65" s="12" t="s">
        <v>63</v>
      </c>
    </row>
    <row r="66" customFormat="false" ht="15" hidden="false" customHeight="false" outlineLevel="0" collapsed="false">
      <c r="B66" s="18" t="n">
        <v>46163</v>
      </c>
      <c r="C66" s="12" t="s">
        <v>22</v>
      </c>
      <c r="D66" s="12" t="n">
        <v>5</v>
      </c>
      <c r="E66" s="12" t="s">
        <v>63</v>
      </c>
    </row>
    <row r="67" customFormat="false" ht="15" hidden="false" customHeight="false" outlineLevel="0" collapsed="false">
      <c r="B67" s="18" t="n">
        <v>46184</v>
      </c>
      <c r="C67" s="12" t="s">
        <v>13</v>
      </c>
      <c r="D67" s="12" t="n">
        <v>3</v>
      </c>
      <c r="E67" s="12" t="s">
        <v>64</v>
      </c>
    </row>
    <row r="68" customFormat="false" ht="15" hidden="false" customHeight="false" outlineLevel="0" collapsed="false">
      <c r="B68" s="18" t="n">
        <v>46208</v>
      </c>
      <c r="C68" s="12" t="s">
        <v>19</v>
      </c>
      <c r="D68" s="12" t="n">
        <v>3</v>
      </c>
      <c r="E68" s="12" t="s">
        <v>66</v>
      </c>
    </row>
    <row r="69" customFormat="false" ht="15" hidden="false" customHeight="false" outlineLevel="0" collapsed="false">
      <c r="B69" s="18" t="n">
        <v>46139</v>
      </c>
      <c r="C69" s="12" t="s">
        <v>16</v>
      </c>
      <c r="D69" s="12" t="n">
        <v>4</v>
      </c>
      <c r="E69" s="12" t="s">
        <v>65</v>
      </c>
    </row>
    <row r="70" customFormat="false" ht="15" hidden="false" customHeight="false" outlineLevel="0" collapsed="false">
      <c r="B70" s="18" t="n">
        <v>46140</v>
      </c>
      <c r="C70" s="12" t="s">
        <v>22</v>
      </c>
      <c r="D70" s="12" t="n">
        <v>4</v>
      </c>
      <c r="E70" s="12" t="s">
        <v>65</v>
      </c>
    </row>
    <row r="71" customFormat="false" ht="15" hidden="false" customHeight="false" outlineLevel="0" collapsed="false">
      <c r="B71" s="18" t="n">
        <v>46134</v>
      </c>
      <c r="C71" s="12" t="s">
        <v>25</v>
      </c>
      <c r="D71" s="12" t="n">
        <v>4</v>
      </c>
      <c r="E71" s="12" t="s">
        <v>65</v>
      </c>
    </row>
    <row r="72" customFormat="false" ht="15" hidden="false" customHeight="false" outlineLevel="0" collapsed="false">
      <c r="B72" s="18" t="n">
        <v>46200</v>
      </c>
      <c r="C72" s="12" t="s">
        <v>13</v>
      </c>
      <c r="D72" s="12" t="n">
        <v>5</v>
      </c>
      <c r="E72" s="12" t="s">
        <v>64</v>
      </c>
    </row>
  </sheetData>
  <autoFilter ref="B2:E72"/>
  <conditionalFormatting sqref="D3:D72">
    <cfRule type="cellIs" priority="2" operator="lessThanOrEqual" aboveAverage="0" equalAverage="0" bottom="0" percent="0" rank="0" text="" dxfId="78">
      <formula>2</formula>
    </cfRule>
    <cfRule type="cellIs" priority="3" operator="equal" aboveAverage="0" equalAverage="0" bottom="0" percent="0" rank="0" text="" dxfId="77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2026-07-22T04:13:06Z</dcterms:created>
  <dc:creator>openpyxl</dc:creator>
  <dc:description/>
  <dc:language>en-US</dc:language>
  <cp:lastModifiedBy/>
  <dcterms:modified xsi:type="dcterms:W3CDTF">2026-07-22T04:13:11Z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